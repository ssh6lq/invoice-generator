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drawings/drawing3.xml" ContentType="application/vnd.openxmlformats-officedocument.drawing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기타자료\ref\양식\비용,휴가\"/>
    </mc:Choice>
  </mc:AlternateContent>
  <xr:revisionPtr revIDLastSave="0" documentId="13_ncr:1_{7E1F2F1D-761D-4D67-8540-1259C0F73566}" xr6:coauthVersionLast="47" xr6:coauthVersionMax="47" xr10:uidLastSave="{00000000-0000-0000-0000-000000000000}"/>
  <bookViews>
    <workbookView xWindow="-120" yWindow="-120" windowWidth="29040" windowHeight="15720" xr2:uid="{01A0517A-9269-4209-A80A-A58C87E878D7}"/>
  </bookViews>
  <sheets>
    <sheet name="양식" sheetId="2" r:id="rId1"/>
    <sheet name="초과근무신청서(작성예시)" sheetId="6" r:id="rId2"/>
    <sheet name="수당신청서(작성예시)" sheetId="7" r:id="rId3"/>
  </sheets>
  <definedNames>
    <definedName name="_xlnm.Print_Area" localSheetId="2">'수당신청서(작성예시)'!$B$1:$V$48</definedName>
    <definedName name="_xlnm.Print_Area" localSheetId="0">양식!$B$1:$V$48</definedName>
    <definedName name="_xlnm.Print_Area" localSheetId="1">'초과근무신청서(작성예시)'!$B$1:$V$48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D6" i="2" l="1"/>
  <c r="K21" i="7"/>
  <c r="S47" i="7"/>
  <c r="T47" i="7" s="1"/>
  <c r="K47" i="7"/>
  <c r="H47" i="7"/>
  <c r="S46" i="7"/>
  <c r="T46" i="7" s="1"/>
  <c r="K46" i="7"/>
  <c r="H46" i="7"/>
  <c r="S45" i="7"/>
  <c r="T45" i="7" s="1"/>
  <c r="K45" i="7"/>
  <c r="H45" i="7"/>
  <c r="T44" i="7"/>
  <c r="S44" i="7"/>
  <c r="K44" i="7"/>
  <c r="H44" i="7"/>
  <c r="S43" i="7"/>
  <c r="T43" i="7" s="1"/>
  <c r="K43" i="7"/>
  <c r="H43" i="7"/>
  <c r="T42" i="7"/>
  <c r="S42" i="7"/>
  <c r="K42" i="7"/>
  <c r="H42" i="7"/>
  <c r="S41" i="7"/>
  <c r="T41" i="7" s="1"/>
  <c r="K41" i="7"/>
  <c r="H41" i="7"/>
  <c r="T40" i="7"/>
  <c r="S40" i="7"/>
  <c r="K40" i="7"/>
  <c r="H40" i="7"/>
  <c r="S39" i="7"/>
  <c r="T39" i="7" s="1"/>
  <c r="K39" i="7"/>
  <c r="H39" i="7"/>
  <c r="S38" i="7"/>
  <c r="T38" i="7" s="1"/>
  <c r="K38" i="7"/>
  <c r="H38" i="7"/>
  <c r="S37" i="7"/>
  <c r="T37" i="7" s="1"/>
  <c r="K37" i="7"/>
  <c r="H37" i="7"/>
  <c r="T36" i="7"/>
  <c r="S36" i="7"/>
  <c r="K36" i="7"/>
  <c r="H36" i="7"/>
  <c r="S35" i="7"/>
  <c r="T35" i="7" s="1"/>
  <c r="K35" i="7"/>
  <c r="H35" i="7"/>
  <c r="T34" i="7"/>
  <c r="S34" i="7"/>
  <c r="K34" i="7"/>
  <c r="H34" i="7"/>
  <c r="S33" i="7"/>
  <c r="T33" i="7" s="1"/>
  <c r="K33" i="7"/>
  <c r="H33" i="7"/>
  <c r="T32" i="7"/>
  <c r="S32" i="7"/>
  <c r="K32" i="7"/>
  <c r="H32" i="7"/>
  <c r="S31" i="7"/>
  <c r="T31" i="7" s="1"/>
  <c r="K31" i="7"/>
  <c r="H31" i="7"/>
  <c r="S30" i="7"/>
  <c r="T30" i="7" s="1"/>
  <c r="K30" i="7"/>
  <c r="H30" i="7"/>
  <c r="S29" i="7"/>
  <c r="T29" i="7" s="1"/>
  <c r="K29" i="7"/>
  <c r="H29" i="7"/>
  <c r="T28" i="7"/>
  <c r="S28" i="7"/>
  <c r="K28" i="7"/>
  <c r="H28" i="7"/>
  <c r="S27" i="7"/>
  <c r="T27" i="7" s="1"/>
  <c r="K27" i="7"/>
  <c r="H27" i="7"/>
  <c r="T26" i="7"/>
  <c r="S26" i="7"/>
  <c r="K26" i="7"/>
  <c r="H26" i="7"/>
  <c r="S25" i="7"/>
  <c r="T25" i="7" s="1"/>
  <c r="K25" i="7"/>
  <c r="H25" i="7"/>
  <c r="T24" i="7"/>
  <c r="S24" i="7"/>
  <c r="K24" i="7"/>
  <c r="H24" i="7"/>
  <c r="S23" i="7"/>
  <c r="T23" i="7" s="1"/>
  <c r="K23" i="7"/>
  <c r="S22" i="7"/>
  <c r="T22" i="7" s="1"/>
  <c r="K22" i="7"/>
  <c r="H22" i="7"/>
  <c r="S21" i="7"/>
  <c r="T21" i="7" s="1"/>
  <c r="T20" i="7"/>
  <c r="S20" i="7"/>
  <c r="K20" i="7"/>
  <c r="H20" i="7"/>
  <c r="S19" i="7"/>
  <c r="T19" i="7" s="1"/>
  <c r="K19" i="7"/>
  <c r="H19" i="7"/>
  <c r="S18" i="7"/>
  <c r="T18" i="7" s="1"/>
  <c r="K18" i="7"/>
  <c r="S17" i="7"/>
  <c r="T17" i="7" s="1"/>
  <c r="K17" i="7"/>
  <c r="H17" i="7"/>
  <c r="S16" i="7"/>
  <c r="T16" i="7" s="1"/>
  <c r="K16" i="7"/>
  <c r="D6" i="7"/>
  <c r="C43" i="7" s="1"/>
  <c r="S47" i="6"/>
  <c r="T47" i="6" s="1"/>
  <c r="K47" i="6"/>
  <c r="H47" i="6"/>
  <c r="S46" i="6"/>
  <c r="T46" i="6" s="1"/>
  <c r="K46" i="6"/>
  <c r="H46" i="6"/>
  <c r="S45" i="6"/>
  <c r="T45" i="6" s="1"/>
  <c r="K45" i="6"/>
  <c r="H45" i="6"/>
  <c r="T44" i="6"/>
  <c r="S44" i="6"/>
  <c r="K44" i="6"/>
  <c r="H44" i="6"/>
  <c r="S43" i="6"/>
  <c r="T43" i="6" s="1"/>
  <c r="K43" i="6"/>
  <c r="H43" i="6"/>
  <c r="T42" i="6"/>
  <c r="S42" i="6"/>
  <c r="K42" i="6"/>
  <c r="H42" i="6"/>
  <c r="T41" i="6"/>
  <c r="S41" i="6"/>
  <c r="K41" i="6"/>
  <c r="H41" i="6"/>
  <c r="S40" i="6"/>
  <c r="T40" i="6" s="1"/>
  <c r="K40" i="6"/>
  <c r="H40" i="6"/>
  <c r="S39" i="6"/>
  <c r="T39" i="6" s="1"/>
  <c r="K39" i="6"/>
  <c r="H39" i="6"/>
  <c r="S38" i="6"/>
  <c r="T38" i="6" s="1"/>
  <c r="K38" i="6"/>
  <c r="H38" i="6"/>
  <c r="T37" i="6"/>
  <c r="S37" i="6"/>
  <c r="K37" i="6"/>
  <c r="H37" i="6"/>
  <c r="T36" i="6"/>
  <c r="S36" i="6"/>
  <c r="K36" i="6"/>
  <c r="H36" i="6"/>
  <c r="S35" i="6"/>
  <c r="T35" i="6" s="1"/>
  <c r="K35" i="6"/>
  <c r="H35" i="6"/>
  <c r="T34" i="6"/>
  <c r="S34" i="6"/>
  <c r="K34" i="6"/>
  <c r="H34" i="6"/>
  <c r="T33" i="6"/>
  <c r="S33" i="6"/>
  <c r="K33" i="6"/>
  <c r="H33" i="6"/>
  <c r="S32" i="6"/>
  <c r="T32" i="6" s="1"/>
  <c r="K32" i="6"/>
  <c r="H32" i="6"/>
  <c r="S31" i="6"/>
  <c r="T31" i="6" s="1"/>
  <c r="K31" i="6"/>
  <c r="H31" i="6"/>
  <c r="S30" i="6"/>
  <c r="T30" i="6" s="1"/>
  <c r="K30" i="6"/>
  <c r="H30" i="6"/>
  <c r="T29" i="6"/>
  <c r="S29" i="6"/>
  <c r="K29" i="6"/>
  <c r="H29" i="6"/>
  <c r="T28" i="6"/>
  <c r="S28" i="6"/>
  <c r="K28" i="6"/>
  <c r="H28" i="6"/>
  <c r="S27" i="6"/>
  <c r="T27" i="6" s="1"/>
  <c r="K27" i="6"/>
  <c r="H27" i="6"/>
  <c r="T26" i="6"/>
  <c r="S26" i="6"/>
  <c r="K26" i="6"/>
  <c r="H26" i="6"/>
  <c r="T25" i="6"/>
  <c r="S25" i="6"/>
  <c r="K25" i="6"/>
  <c r="H25" i="6"/>
  <c r="S24" i="6"/>
  <c r="T24" i="6" s="1"/>
  <c r="K24" i="6"/>
  <c r="H24" i="6"/>
  <c r="S23" i="6"/>
  <c r="T23" i="6" s="1"/>
  <c r="K23" i="6"/>
  <c r="S22" i="6"/>
  <c r="T22" i="6" s="1"/>
  <c r="K22" i="6"/>
  <c r="H22" i="6"/>
  <c r="T21" i="6"/>
  <c r="S21" i="6"/>
  <c r="K21" i="6"/>
  <c r="T20" i="6"/>
  <c r="S20" i="6"/>
  <c r="K20" i="6"/>
  <c r="H20" i="6"/>
  <c r="S19" i="6"/>
  <c r="T19" i="6" s="1"/>
  <c r="K19" i="6"/>
  <c r="H19" i="6"/>
  <c r="T18" i="6"/>
  <c r="S18" i="6"/>
  <c r="K18" i="6"/>
  <c r="H18" i="6"/>
  <c r="T17" i="6"/>
  <c r="S17" i="6"/>
  <c r="K17" i="6"/>
  <c r="H17" i="6"/>
  <c r="S16" i="6"/>
  <c r="T16" i="6" s="1"/>
  <c r="K16" i="6"/>
  <c r="D6" i="6"/>
  <c r="C43" i="6" s="1"/>
  <c r="S17" i="2"/>
  <c r="S18" i="2"/>
  <c r="T18" i="2" s="1"/>
  <c r="S19" i="2"/>
  <c r="T19" i="2" s="1"/>
  <c r="S20" i="2"/>
  <c r="T20" i="2" s="1"/>
  <c r="S21" i="2"/>
  <c r="T21" i="2" s="1"/>
  <c r="S22" i="2"/>
  <c r="T22" i="2" s="1"/>
  <c r="S23" i="2"/>
  <c r="T23" i="2" s="1"/>
  <c r="S24" i="2"/>
  <c r="S25" i="2"/>
  <c r="T25" i="2" s="1"/>
  <c r="S26" i="2"/>
  <c r="T26" i="2" s="1"/>
  <c r="S27" i="2"/>
  <c r="T27" i="2" s="1"/>
  <c r="S28" i="2"/>
  <c r="T28" i="2" s="1"/>
  <c r="S29" i="2"/>
  <c r="T29" i="2" s="1"/>
  <c r="S30" i="2"/>
  <c r="T30" i="2" s="1"/>
  <c r="S31" i="2"/>
  <c r="S32" i="2"/>
  <c r="T32" i="2" s="1"/>
  <c r="S33" i="2"/>
  <c r="T33" i="2" s="1"/>
  <c r="S34" i="2"/>
  <c r="T34" i="2" s="1"/>
  <c r="S35" i="2"/>
  <c r="T35" i="2" s="1"/>
  <c r="S36" i="2"/>
  <c r="T36" i="2" s="1"/>
  <c r="S37" i="2"/>
  <c r="T37" i="2" s="1"/>
  <c r="S38" i="2"/>
  <c r="T38" i="2" s="1"/>
  <c r="S39" i="2"/>
  <c r="T39" i="2" s="1"/>
  <c r="S40" i="2"/>
  <c r="T40" i="2" s="1"/>
  <c r="S41" i="2"/>
  <c r="T41" i="2" s="1"/>
  <c r="S42" i="2"/>
  <c r="T42" i="2" s="1"/>
  <c r="S43" i="2"/>
  <c r="T43" i="2" s="1"/>
  <c r="S44" i="2"/>
  <c r="T44" i="2" s="1"/>
  <c r="S45" i="2"/>
  <c r="T45" i="2" s="1"/>
  <c r="S46" i="2"/>
  <c r="T46" i="2" s="1"/>
  <c r="S47" i="2"/>
  <c r="T47" i="2" s="1"/>
  <c r="S16" i="2"/>
  <c r="T16" i="2" s="1"/>
  <c r="S12" i="7" l="1"/>
  <c r="C32" i="7"/>
  <c r="C24" i="7"/>
  <c r="C29" i="7"/>
  <c r="C42" i="7"/>
  <c r="C34" i="7"/>
  <c r="C28" i="7"/>
  <c r="C40" i="7"/>
  <c r="C44" i="7"/>
  <c r="C46" i="7" s="1"/>
  <c r="C21" i="7"/>
  <c r="H21" i="7" s="1"/>
  <c r="C36" i="7"/>
  <c r="C26" i="7"/>
  <c r="C18" i="7"/>
  <c r="H18" i="7" s="1"/>
  <c r="C20" i="7"/>
  <c r="C37" i="7"/>
  <c r="T12" i="7"/>
  <c r="C23" i="7"/>
  <c r="H23" i="7" s="1"/>
  <c r="C31" i="7"/>
  <c r="C39" i="7"/>
  <c r="C17" i="7"/>
  <c r="C25" i="7"/>
  <c r="C33" i="7"/>
  <c r="C41" i="7"/>
  <c r="C22" i="7"/>
  <c r="C30" i="7"/>
  <c r="C38" i="7"/>
  <c r="C19" i="7"/>
  <c r="C27" i="7"/>
  <c r="C35" i="7"/>
  <c r="C37" i="6"/>
  <c r="C18" i="6"/>
  <c r="C29" i="6"/>
  <c r="C23" i="6"/>
  <c r="H23" i="6" s="1"/>
  <c r="C42" i="6"/>
  <c r="C39" i="6"/>
  <c r="C31" i="6"/>
  <c r="C21" i="6"/>
  <c r="H21" i="6" s="1"/>
  <c r="C34" i="6"/>
  <c r="C30" i="6"/>
  <c r="C26" i="6"/>
  <c r="C22" i="6"/>
  <c r="T12" i="6"/>
  <c r="S12" i="6"/>
  <c r="C24" i="6"/>
  <c r="C32" i="6"/>
  <c r="C40" i="6"/>
  <c r="C20" i="6"/>
  <c r="C28" i="6"/>
  <c r="C36" i="6"/>
  <c r="C44" i="6"/>
  <c r="C46" i="6" s="1"/>
  <c r="C17" i="6"/>
  <c r="C25" i="6"/>
  <c r="C33" i="6"/>
  <c r="C41" i="6"/>
  <c r="C38" i="6"/>
  <c r="C19" i="6"/>
  <c r="C27" i="6"/>
  <c r="C35" i="6"/>
  <c r="T17" i="2"/>
  <c r="T24" i="2"/>
  <c r="T31" i="2"/>
  <c r="K21" i="2"/>
  <c r="C45" i="7" l="1"/>
  <c r="C47" i="7"/>
  <c r="C45" i="6"/>
  <c r="C47" i="6"/>
  <c r="K18" i="2"/>
  <c r="K19" i="2"/>
  <c r="K20" i="2"/>
  <c r="K22" i="2"/>
  <c r="K23" i="2"/>
  <c r="K24" i="2"/>
  <c r="K25" i="2"/>
  <c r="K26" i="2"/>
  <c r="K16" i="2"/>
  <c r="K47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17" i="2"/>
  <c r="C20" i="2" l="1"/>
  <c r="H20" i="2" s="1"/>
  <c r="C17" i="2" l="1"/>
  <c r="H17" i="2" s="1"/>
  <c r="C39" i="2"/>
  <c r="H39" i="2" s="1"/>
  <c r="C31" i="2"/>
  <c r="H31" i="2" s="1"/>
  <c r="C23" i="2"/>
  <c r="H23" i="2" s="1"/>
  <c r="C38" i="2"/>
  <c r="H38" i="2" s="1"/>
  <c r="C30" i="2"/>
  <c r="H30" i="2" s="1"/>
  <c r="C22" i="2"/>
  <c r="H22" i="2" s="1"/>
  <c r="C37" i="2"/>
  <c r="H37" i="2" s="1"/>
  <c r="C29" i="2"/>
  <c r="H29" i="2" s="1"/>
  <c r="C21" i="2"/>
  <c r="H21" i="2" s="1"/>
  <c r="C44" i="2"/>
  <c r="H44" i="2" s="1"/>
  <c r="C36" i="2"/>
  <c r="H36" i="2" s="1"/>
  <c r="C28" i="2"/>
  <c r="H28" i="2" s="1"/>
  <c r="C43" i="2"/>
  <c r="H43" i="2" s="1"/>
  <c r="C35" i="2"/>
  <c r="H35" i="2" s="1"/>
  <c r="C27" i="2"/>
  <c r="H27" i="2" s="1"/>
  <c r="C19" i="2"/>
  <c r="H19" i="2" s="1"/>
  <c r="C42" i="2"/>
  <c r="H42" i="2" s="1"/>
  <c r="C34" i="2"/>
  <c r="H34" i="2" s="1"/>
  <c r="C26" i="2"/>
  <c r="H26" i="2" s="1"/>
  <c r="C18" i="2"/>
  <c r="H18" i="2" s="1"/>
  <c r="C40" i="2"/>
  <c r="H40" i="2" s="1"/>
  <c r="C32" i="2"/>
  <c r="H32" i="2" s="1"/>
  <c r="C24" i="2"/>
  <c r="H24" i="2" s="1"/>
  <c r="C41" i="2"/>
  <c r="H41" i="2" s="1"/>
  <c r="C33" i="2"/>
  <c r="H33" i="2" s="1"/>
  <c r="C25" i="2"/>
  <c r="H25" i="2" s="1"/>
  <c r="C45" i="2" l="1"/>
  <c r="H45" i="2" s="1"/>
  <c r="C46" i="2"/>
  <c r="H46" i="2" s="1"/>
  <c r="C47" i="2"/>
  <c r="H47" i="2" s="1"/>
  <c r="S12" i="2"/>
  <c r="T12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도영</author>
    <author>netid</author>
  </authors>
  <commentList>
    <comment ref="C2" authorId="0" shapeId="0" xr:uid="{757D1F30-9495-400F-ABD6-5B04FEEF4E2A}">
      <text>
        <r>
          <rPr>
            <b/>
            <sz val="14"/>
            <color indexed="10"/>
            <rFont val="맑은 고딕"/>
            <family val="3"/>
            <charset val="129"/>
            <scheme val="minor"/>
          </rPr>
          <t xml:space="preserve">① 초과근무한 월 기재
</t>
        </r>
        <r>
          <rPr>
            <b/>
            <sz val="9"/>
            <color indexed="81"/>
            <rFont val="맑은 고딕"/>
            <family val="3"/>
            <charset val="129"/>
            <scheme val="minor"/>
          </rPr>
          <t xml:space="preserve">
숫자만 기재
**5월일 경우 숫자 5만 입력</t>
        </r>
      </text>
    </comment>
    <comment ref="D6" authorId="0" shapeId="0" xr:uid="{DDF527DA-B8C3-48D9-9DA0-DDBC2A2B0CB5}">
      <text>
        <r>
          <rPr>
            <b/>
            <sz val="14"/>
            <color indexed="10"/>
            <rFont val="맑은 고딕"/>
            <family val="3"/>
            <charset val="129"/>
            <scheme val="minor"/>
          </rPr>
          <t xml:space="preserve">② 작성일,부서명,직위,성명 기재
</t>
        </r>
        <r>
          <rPr>
            <b/>
            <sz val="9"/>
            <color indexed="81"/>
            <rFont val="맑은 고딕"/>
            <family val="3"/>
            <charset val="129"/>
            <scheme val="minor"/>
          </rPr>
          <t xml:space="preserve">
**직전년도 신청분은 작성일을 전년도 12/31로 기재할 것
(작성일 기준으로 수행일자가 산정되므로 유의)</t>
        </r>
      </text>
    </comment>
    <comment ref="T12" authorId="1" shapeId="0" xr:uid="{A307292F-914C-4B94-ACD7-BC0D7B6179EF}">
      <text>
        <r>
          <rPr>
            <b/>
            <sz val="10"/>
            <color indexed="10"/>
            <rFont val="맑은 고딕"/>
            <family val="3"/>
            <charset val="129"/>
            <scheme val="minor"/>
          </rPr>
          <t xml:space="preserve">※참고 </t>
        </r>
        <r>
          <rPr>
            <b/>
            <sz val="9"/>
            <color indexed="81"/>
            <rFont val="맑은 고딕"/>
            <family val="3"/>
            <charset val="129"/>
            <scheme val="minor"/>
          </rPr>
          <t xml:space="preserve">
1시간 미만 근무한 날은 수당이 지급되지 않으며,1시간 이상 근무 시 수당은 30분단위로 지급됩니다. </t>
        </r>
      </text>
    </comment>
    <comment ref="B13" authorId="1" shapeId="0" xr:uid="{4525F3E3-BEF6-459A-A8EB-82F48D1C63D5}">
      <text>
        <r>
          <rPr>
            <b/>
            <sz val="14"/>
            <color indexed="10"/>
            <rFont val="맑은 고딕"/>
            <family val="3"/>
            <charset val="129"/>
            <scheme val="minor"/>
          </rPr>
          <t xml:space="preserve">③ 신청자 기입란 작성
</t>
        </r>
        <r>
          <rPr>
            <b/>
            <u/>
            <sz val="10"/>
            <color indexed="10"/>
            <rFont val="맑은 고딕"/>
            <family val="3"/>
            <charset val="129"/>
            <scheme val="minor"/>
          </rPr>
          <t xml:space="preserve">※ 작성 전 [예시]시트 필독
</t>
        </r>
        <r>
          <rPr>
            <b/>
            <sz val="9"/>
            <color indexed="81"/>
            <rFont val="맑은 고딕"/>
            <family val="3"/>
            <charset val="129"/>
            <scheme val="minor"/>
          </rPr>
          <t xml:space="preserve">
초과근무 신청 시 </t>
        </r>
        <r>
          <rPr>
            <b/>
            <sz val="9"/>
            <color indexed="39"/>
            <rFont val="맑은 고딕"/>
            <family val="3"/>
            <charset val="129"/>
            <scheme val="minor"/>
          </rPr>
          <t>→ [초과근무 신청서(작성예시)]시트 참고</t>
        </r>
        <r>
          <rPr>
            <b/>
            <sz val="9"/>
            <color indexed="81"/>
            <rFont val="맑은 고딕"/>
            <family val="3"/>
            <charset val="129"/>
            <scheme val="minor"/>
          </rPr>
          <t xml:space="preserve">
초과근무 '수당' 신청 시 →</t>
        </r>
        <r>
          <rPr>
            <b/>
            <sz val="9"/>
            <color indexed="39"/>
            <rFont val="맑은 고딕"/>
            <family val="3"/>
            <charset val="129"/>
            <scheme val="minor"/>
          </rPr>
          <t xml:space="preserve"> [수당 신청서(작성예시)]시트 참고</t>
        </r>
      </text>
    </comment>
    <comment ref="K15" authorId="1" shapeId="0" xr:uid="{E9245DBC-CFB3-4BF9-82DF-7494FDB7F038}">
      <text>
        <r>
          <rPr>
            <b/>
            <sz val="9"/>
            <color indexed="10"/>
            <rFont val="맑은 고딕"/>
            <family val="3"/>
            <charset val="129"/>
            <scheme val="minor"/>
          </rPr>
          <t>※ 주의</t>
        </r>
        <r>
          <rPr>
            <b/>
            <sz val="9"/>
            <color indexed="81"/>
            <rFont val="맑은 고딕"/>
            <family val="3"/>
            <charset val="129"/>
            <scheme val="minor"/>
          </rPr>
          <t xml:space="preserve">
근무시간에 제외할 시간이 포함되어 있습니다. </t>
        </r>
      </text>
    </comment>
    <comment ref="O15" authorId="1" shapeId="0" xr:uid="{5594CD94-DE2B-4B6E-BE58-396A4AE33A9E}">
      <text>
        <r>
          <rPr>
            <b/>
            <sz val="9"/>
            <color indexed="10"/>
            <rFont val="맑은 고딕"/>
            <family val="3"/>
            <charset val="129"/>
            <scheme val="minor"/>
          </rPr>
          <t xml:space="preserve">작성예시) </t>
        </r>
        <r>
          <rPr>
            <b/>
            <sz val="9"/>
            <color indexed="81"/>
            <rFont val="맑은 고딕"/>
            <family val="3"/>
            <charset val="129"/>
            <scheme val="minor"/>
          </rPr>
          <t xml:space="preserve">
식사, 이동시간 등
→ 제외할 비근무 시간 입력</t>
        </r>
      </text>
    </comment>
    <comment ref="P15" authorId="1" shapeId="0" xr:uid="{882FC615-900F-452F-8C36-C15241F7BF94}">
      <text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10"/>
            <rFont val="맑은 고딕"/>
            <family val="3"/>
            <charset val="129"/>
            <scheme val="minor"/>
          </rPr>
          <t>❗대체휴무 지급 여부 (입력 필수)</t>
        </r>
        <r>
          <rPr>
            <b/>
            <sz val="9"/>
            <color indexed="81"/>
            <rFont val="맑은 고딕"/>
            <family val="3"/>
            <charset val="129"/>
            <scheme val="minor"/>
          </rPr>
          <t xml:space="preserve">
초과근무한 시간만큼 다른 근무일에 늦게 출근하거나 일찍 퇴근하는 등 대체휴무를 제공받은 경우 "O"로 입력합니다. 
(예: 평일 야간근무 → 익일 오전 대체휴무
/ 주말 근무 → 평일 대체휴무)
※ 대체휴무 지급 여부가 미입력된 경우, 수당 신청 시간이 계산되지 않습니다.
※ 근무시간 조정 후에도 정규 근무시간(주 40시간)을 초과하는 경우에는 연장근무 신청이 가능합니다.</t>
        </r>
      </text>
    </comment>
    <comment ref="Q15" authorId="1" shapeId="0" xr:uid="{E87BCC01-2CE1-40D9-A9EF-E3FD5606D1C2}">
      <text>
        <r>
          <rPr>
            <b/>
            <sz val="9"/>
            <color indexed="10"/>
            <rFont val="맑은 고딕"/>
            <family val="3"/>
            <charset val="129"/>
            <scheme val="minor"/>
          </rPr>
          <t>※ 주의</t>
        </r>
        <r>
          <rPr>
            <b/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맑은 고딕"/>
            <family val="3"/>
            <charset val="129"/>
            <scheme val="minor"/>
          </rPr>
          <t>근로시간 기준으로 계산, 휴게시간 등은 제외</t>
        </r>
      </text>
    </comment>
    <comment ref="R15" authorId="1" shapeId="0" xr:uid="{6D930DFB-C2DD-4155-9C63-821F1E7BB254}">
      <text>
        <r>
          <rPr>
            <b/>
            <sz val="9"/>
            <color indexed="10"/>
            <rFont val="맑은 고딕"/>
            <family val="3"/>
            <charset val="129"/>
            <scheme val="minor"/>
          </rPr>
          <t>작성예시)</t>
        </r>
        <r>
          <rPr>
            <b/>
            <sz val="9"/>
            <color indexed="81"/>
            <rFont val="맑은 고딕"/>
            <family val="3"/>
            <charset val="129"/>
            <scheme val="minor"/>
          </rPr>
          <t xml:space="preserve"> 
2026-01-02 (금) 
9:00~13:00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도영</author>
    <author>netid</author>
  </authors>
  <commentList>
    <comment ref="C2" authorId="0" shapeId="0" xr:uid="{CF589766-3026-47CC-9367-050F888553D6}">
      <text>
        <r>
          <rPr>
            <b/>
            <sz val="14"/>
            <color indexed="10"/>
            <rFont val="맑은 고딕"/>
            <family val="3"/>
            <charset val="129"/>
            <scheme val="minor"/>
          </rPr>
          <t xml:space="preserve">① 초과근무한 월 기재
</t>
        </r>
        <r>
          <rPr>
            <b/>
            <sz val="9"/>
            <color indexed="81"/>
            <rFont val="맑은 고딕"/>
            <family val="3"/>
            <charset val="129"/>
            <scheme val="minor"/>
          </rPr>
          <t xml:space="preserve">
숫자만 기재
**5월일 경우 숫자 5만 입력</t>
        </r>
      </text>
    </comment>
    <comment ref="D6" authorId="0" shapeId="0" xr:uid="{C0207B72-4DB9-47CF-A403-4B40E1CCE429}">
      <text>
        <r>
          <rPr>
            <b/>
            <sz val="14"/>
            <color indexed="10"/>
            <rFont val="맑은 고딕"/>
            <family val="3"/>
            <charset val="129"/>
            <scheme val="minor"/>
          </rPr>
          <t xml:space="preserve">② 작성일,부서명,직위,성명 기재
</t>
        </r>
        <r>
          <rPr>
            <b/>
            <sz val="9"/>
            <color indexed="81"/>
            <rFont val="맑은 고딕"/>
            <family val="3"/>
            <charset val="129"/>
            <scheme val="minor"/>
          </rPr>
          <t xml:space="preserve">
**직전년도 신청분은 작성일을 전년도 12/31로 기재할 것
(작성일 기준으로 수행일자가 산정되므로 유의)</t>
        </r>
      </text>
    </comment>
    <comment ref="T12" authorId="1" shapeId="0" xr:uid="{46DEA1D1-BF50-4969-94A7-DB49F6D100FE}">
      <text>
        <r>
          <rPr>
            <b/>
            <sz val="10"/>
            <color indexed="10"/>
            <rFont val="맑은 고딕"/>
            <family val="3"/>
            <charset val="129"/>
            <scheme val="minor"/>
          </rPr>
          <t xml:space="preserve">※참고 </t>
        </r>
        <r>
          <rPr>
            <b/>
            <sz val="9"/>
            <color indexed="81"/>
            <rFont val="맑은 고딕"/>
            <family val="3"/>
            <charset val="129"/>
            <scheme val="minor"/>
          </rPr>
          <t xml:space="preserve">
1시간 미만 근무한 날은 수당이 지급되지 않으며,1시간 이상 근무 시 수당은 30분단위로 지급됩니다. </t>
        </r>
      </text>
    </comment>
    <comment ref="B13" authorId="1" shapeId="0" xr:uid="{976D3A28-29AE-4735-B9CC-546CE24BA9E6}">
      <text>
        <r>
          <rPr>
            <b/>
            <sz val="14"/>
            <color indexed="10"/>
            <rFont val="맑은 고딕"/>
            <family val="3"/>
            <charset val="129"/>
            <scheme val="minor"/>
          </rPr>
          <t xml:space="preserve">③ 신청자 기입란 작성
</t>
        </r>
        <r>
          <rPr>
            <b/>
            <u/>
            <sz val="10"/>
            <color indexed="10"/>
            <rFont val="맑은 고딕"/>
            <family val="3"/>
            <charset val="129"/>
            <scheme val="minor"/>
          </rPr>
          <t xml:space="preserve">※ 작성 전 [예시]시트 필독
</t>
        </r>
        <r>
          <rPr>
            <b/>
            <sz val="9"/>
            <color indexed="81"/>
            <rFont val="맑은 고딕"/>
            <family val="3"/>
            <charset val="129"/>
            <scheme val="minor"/>
          </rPr>
          <t xml:space="preserve">
초과근무 신청 시 </t>
        </r>
        <r>
          <rPr>
            <b/>
            <sz val="9"/>
            <color indexed="39"/>
            <rFont val="맑은 고딕"/>
            <family val="3"/>
            <charset val="129"/>
            <scheme val="minor"/>
          </rPr>
          <t>→ [초과근무 신청서(작성예시)]시트 참고</t>
        </r>
        <r>
          <rPr>
            <b/>
            <sz val="9"/>
            <color indexed="81"/>
            <rFont val="맑은 고딕"/>
            <family val="3"/>
            <charset val="129"/>
            <scheme val="minor"/>
          </rPr>
          <t xml:space="preserve">
초과근무 '수당' 신청 시 →</t>
        </r>
        <r>
          <rPr>
            <b/>
            <sz val="9"/>
            <color indexed="39"/>
            <rFont val="맑은 고딕"/>
            <family val="3"/>
            <charset val="129"/>
            <scheme val="minor"/>
          </rPr>
          <t xml:space="preserve"> [수당 신청서(작성예시)]시트 참고</t>
        </r>
      </text>
    </comment>
    <comment ref="K15" authorId="1" shapeId="0" xr:uid="{F3BB2713-695B-4E22-9335-5CFA1A79E4ED}">
      <text>
        <r>
          <rPr>
            <b/>
            <sz val="9"/>
            <color indexed="10"/>
            <rFont val="맑은 고딕"/>
            <family val="3"/>
            <charset val="129"/>
            <scheme val="minor"/>
          </rPr>
          <t>※ 주의</t>
        </r>
        <r>
          <rPr>
            <b/>
            <sz val="9"/>
            <color indexed="81"/>
            <rFont val="맑은 고딕"/>
            <family val="3"/>
            <charset val="129"/>
            <scheme val="minor"/>
          </rPr>
          <t xml:space="preserve">
근무시간에 제외할 시간이 포함되어 있습니다. </t>
        </r>
      </text>
    </comment>
    <comment ref="O15" authorId="1" shapeId="0" xr:uid="{95D5EC2C-C656-4E73-B99A-F370DA9D3A9F}">
      <text>
        <r>
          <rPr>
            <b/>
            <sz val="9"/>
            <color indexed="10"/>
            <rFont val="맑은 고딕"/>
            <family val="3"/>
            <charset val="129"/>
            <scheme val="minor"/>
          </rPr>
          <t xml:space="preserve">작성예시) </t>
        </r>
        <r>
          <rPr>
            <b/>
            <sz val="9"/>
            <color indexed="81"/>
            <rFont val="맑은 고딕"/>
            <family val="3"/>
            <charset val="129"/>
            <scheme val="minor"/>
          </rPr>
          <t xml:space="preserve">
식사, 이동시간 등
→ 제외할 비근무 시간 입력</t>
        </r>
      </text>
    </comment>
    <comment ref="P15" authorId="1" shapeId="0" xr:uid="{3C4DC227-3E24-4903-B278-2D839F7E8401}">
      <text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10"/>
            <rFont val="맑은 고딕"/>
            <family val="3"/>
            <charset val="129"/>
            <scheme val="minor"/>
          </rPr>
          <t>❗대체휴무 지급 여부 (입력 필수)</t>
        </r>
        <r>
          <rPr>
            <b/>
            <sz val="9"/>
            <color indexed="81"/>
            <rFont val="맑은 고딕"/>
            <family val="3"/>
            <charset val="129"/>
            <scheme val="minor"/>
          </rPr>
          <t xml:space="preserve">
초과근무한 시간만큼 다른 근무일에 늦게 출근하거나 일찍 퇴근하는 등 대체휴무를 제공받은 경우 "O"로 입력합니다. 
(예: 평일 야간근무 → 익일 오전 대체휴무
/ 주말 근무 → 평일 대체휴무)
※ 대체휴무 지급 여부가 미입력된 경우, 수당 신청 시간이 계산되지 않습니다.
※ 근무시간 조정 후에도 정규 근무시간(주 40시간)을 초과하는 경우에는 연장근무 신청이 가능합니다.</t>
        </r>
      </text>
    </comment>
    <comment ref="Q15" authorId="1" shapeId="0" xr:uid="{ADBE33C7-C9C2-4A51-89CD-0C727F97BB87}">
      <text>
        <r>
          <rPr>
            <b/>
            <sz val="9"/>
            <color indexed="10"/>
            <rFont val="맑은 고딕"/>
            <family val="3"/>
            <charset val="129"/>
            <scheme val="minor"/>
          </rPr>
          <t>※ 주의</t>
        </r>
        <r>
          <rPr>
            <b/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맑은 고딕"/>
            <family val="3"/>
            <charset val="129"/>
            <scheme val="minor"/>
          </rPr>
          <t>근로시간 기준으로 계산, 휴게시간 등은 제외</t>
        </r>
      </text>
    </comment>
    <comment ref="R15" authorId="1" shapeId="0" xr:uid="{9B509868-E68E-4B59-9EAE-2127FFB6B41F}">
      <text>
        <r>
          <rPr>
            <b/>
            <sz val="9"/>
            <color indexed="10"/>
            <rFont val="맑은 고딕"/>
            <family val="3"/>
            <charset val="129"/>
            <scheme val="minor"/>
          </rPr>
          <t>작성예시)</t>
        </r>
        <r>
          <rPr>
            <b/>
            <sz val="9"/>
            <color indexed="81"/>
            <rFont val="맑은 고딕"/>
            <family val="3"/>
            <charset val="129"/>
            <scheme val="minor"/>
          </rPr>
          <t xml:space="preserve"> 
2026-01-02 (금) 
9:00~13:00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도영</author>
    <author>netid</author>
  </authors>
  <commentList>
    <comment ref="C2" authorId="0" shapeId="0" xr:uid="{E5B0CD23-8D89-4304-AF65-B27B48445B50}">
      <text>
        <r>
          <rPr>
            <b/>
            <sz val="14"/>
            <color indexed="10"/>
            <rFont val="맑은 고딕"/>
            <family val="3"/>
            <charset val="129"/>
            <scheme val="minor"/>
          </rPr>
          <t xml:space="preserve">① 초과근무한 월 기재
</t>
        </r>
        <r>
          <rPr>
            <b/>
            <sz val="9"/>
            <color indexed="81"/>
            <rFont val="맑은 고딕"/>
            <family val="3"/>
            <charset val="129"/>
            <scheme val="minor"/>
          </rPr>
          <t xml:space="preserve">
숫자만 기재
**5월일 경우 숫자 5만 입력</t>
        </r>
      </text>
    </comment>
    <comment ref="D6" authorId="0" shapeId="0" xr:uid="{6D8C3F1F-4329-48BC-9D7C-75C8A811E2D6}">
      <text>
        <r>
          <rPr>
            <b/>
            <sz val="14"/>
            <color indexed="10"/>
            <rFont val="맑은 고딕"/>
            <family val="3"/>
            <charset val="129"/>
            <scheme val="minor"/>
          </rPr>
          <t xml:space="preserve">② 작성일,부서명,직위,성명 기재
</t>
        </r>
        <r>
          <rPr>
            <b/>
            <sz val="9"/>
            <color indexed="81"/>
            <rFont val="맑은 고딕"/>
            <family val="3"/>
            <charset val="129"/>
            <scheme val="minor"/>
          </rPr>
          <t xml:space="preserve">
**직전년도 신청분은 작성일을 전년도 12/31로 기재할 것
(작성일 기준으로 수행일자가 산정되므로 유의)</t>
        </r>
      </text>
    </comment>
    <comment ref="T12" authorId="1" shapeId="0" xr:uid="{222EB170-33B6-4030-B33E-BD97560296A4}">
      <text>
        <r>
          <rPr>
            <b/>
            <sz val="10"/>
            <color indexed="10"/>
            <rFont val="맑은 고딕"/>
            <family val="3"/>
            <charset val="129"/>
            <scheme val="minor"/>
          </rPr>
          <t xml:space="preserve">※참고 </t>
        </r>
        <r>
          <rPr>
            <b/>
            <sz val="9"/>
            <color indexed="81"/>
            <rFont val="맑은 고딕"/>
            <family val="3"/>
            <charset val="129"/>
            <scheme val="minor"/>
          </rPr>
          <t xml:space="preserve">
1시간 미만 근무한 날은 수당이 지급되지 않으며,1시간 이상 근무 시 수당은 30분단위로 지급됩니다. </t>
        </r>
      </text>
    </comment>
    <comment ref="B13" authorId="1" shapeId="0" xr:uid="{23A031CA-35C3-4D1D-AF03-C289BEE493F1}">
      <text>
        <r>
          <rPr>
            <b/>
            <sz val="14"/>
            <color indexed="10"/>
            <rFont val="맑은 고딕"/>
            <family val="3"/>
            <charset val="129"/>
            <scheme val="minor"/>
          </rPr>
          <t xml:space="preserve">③ 신청자 기입란 작성
</t>
        </r>
        <r>
          <rPr>
            <b/>
            <u/>
            <sz val="10"/>
            <color indexed="10"/>
            <rFont val="맑은 고딕"/>
            <family val="3"/>
            <charset val="129"/>
            <scheme val="minor"/>
          </rPr>
          <t xml:space="preserve">※ 작성 전 [예시]시트 필독
</t>
        </r>
        <r>
          <rPr>
            <b/>
            <sz val="9"/>
            <color indexed="81"/>
            <rFont val="맑은 고딕"/>
            <family val="3"/>
            <charset val="129"/>
            <scheme val="minor"/>
          </rPr>
          <t xml:space="preserve">
초과근무 신청 시 </t>
        </r>
        <r>
          <rPr>
            <b/>
            <sz val="9"/>
            <color indexed="39"/>
            <rFont val="맑은 고딕"/>
            <family val="3"/>
            <charset val="129"/>
            <scheme val="minor"/>
          </rPr>
          <t>→ [초과근무 신청서(작성예시)]시트 참고</t>
        </r>
        <r>
          <rPr>
            <b/>
            <sz val="9"/>
            <color indexed="81"/>
            <rFont val="맑은 고딕"/>
            <family val="3"/>
            <charset val="129"/>
            <scheme val="minor"/>
          </rPr>
          <t xml:space="preserve">
초과근무 '수당' 신청 시 →</t>
        </r>
        <r>
          <rPr>
            <b/>
            <sz val="9"/>
            <color indexed="39"/>
            <rFont val="맑은 고딕"/>
            <family val="3"/>
            <charset val="129"/>
            <scheme val="minor"/>
          </rPr>
          <t xml:space="preserve"> [수당 신청서(작성예시)]시트 참고</t>
        </r>
      </text>
    </comment>
    <comment ref="K15" authorId="1" shapeId="0" xr:uid="{0968EC06-A1DA-470F-A46A-BF656AB85907}">
      <text>
        <r>
          <rPr>
            <b/>
            <sz val="9"/>
            <color indexed="10"/>
            <rFont val="맑은 고딕"/>
            <family val="3"/>
            <charset val="129"/>
            <scheme val="minor"/>
          </rPr>
          <t>※ 주의</t>
        </r>
        <r>
          <rPr>
            <b/>
            <sz val="9"/>
            <color indexed="81"/>
            <rFont val="맑은 고딕"/>
            <family val="3"/>
            <charset val="129"/>
            <scheme val="minor"/>
          </rPr>
          <t xml:space="preserve">
근무시간에 제외할 시간이 포함되어 있습니다. </t>
        </r>
      </text>
    </comment>
    <comment ref="O15" authorId="1" shapeId="0" xr:uid="{CB7370A9-C2E6-47F5-A4C7-3B1EAC119A73}">
      <text>
        <r>
          <rPr>
            <b/>
            <sz val="9"/>
            <color indexed="10"/>
            <rFont val="맑은 고딕"/>
            <family val="3"/>
            <charset val="129"/>
            <scheme val="minor"/>
          </rPr>
          <t xml:space="preserve">작성예시) </t>
        </r>
        <r>
          <rPr>
            <b/>
            <sz val="9"/>
            <color indexed="81"/>
            <rFont val="맑은 고딕"/>
            <family val="3"/>
            <charset val="129"/>
            <scheme val="minor"/>
          </rPr>
          <t xml:space="preserve">
식사, 이동시간 등
→ 제외할 비근무 시간 입력</t>
        </r>
      </text>
    </comment>
    <comment ref="P15" authorId="1" shapeId="0" xr:uid="{582CFCAD-C674-4B31-8BF2-6F0BCB774E4C}">
      <text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10"/>
            <rFont val="맑은 고딕"/>
            <family val="3"/>
            <charset val="129"/>
            <scheme val="minor"/>
          </rPr>
          <t>❗대체휴무 지급 여부 (입력 필수)</t>
        </r>
        <r>
          <rPr>
            <b/>
            <sz val="9"/>
            <color indexed="81"/>
            <rFont val="맑은 고딕"/>
            <family val="3"/>
            <charset val="129"/>
            <scheme val="minor"/>
          </rPr>
          <t xml:space="preserve">
초과근무한 시간만큼 다른 근무일에 늦게 출근하거나 일찍 퇴근하는 등 대체휴무를 제공받은 경우 "O"로 입력합니다. 
(예: 평일 야간근무 → 익일 오전 대체휴무
/ 주말 근무 → 평일 대체휴무)
※ 대체휴무 지급 여부가 미입력된 경우, 수당 신청 시간이 계산되지 않습니다.
※ 근무시간 조정 후에도 정규 근무시간(주 40시간)을 초과하는 경우에는 연장근무 신청이 가능합니다.</t>
        </r>
      </text>
    </comment>
    <comment ref="Q15" authorId="1" shapeId="0" xr:uid="{104BCDE3-84C0-44C8-8F32-009FFAEFD580}">
      <text>
        <r>
          <rPr>
            <b/>
            <sz val="9"/>
            <color indexed="10"/>
            <rFont val="맑은 고딕"/>
            <family val="3"/>
            <charset val="129"/>
            <scheme val="minor"/>
          </rPr>
          <t>※ 주의</t>
        </r>
        <r>
          <rPr>
            <b/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맑은 고딕"/>
            <family val="3"/>
            <charset val="129"/>
            <scheme val="minor"/>
          </rPr>
          <t>근로시간 기준으로 계산, 휴게시간 등은 제외</t>
        </r>
      </text>
    </comment>
    <comment ref="R15" authorId="1" shapeId="0" xr:uid="{8D642171-DAAC-46FF-A405-38B9EF5F92C5}">
      <text>
        <r>
          <rPr>
            <b/>
            <sz val="9"/>
            <color indexed="10"/>
            <rFont val="맑은 고딕"/>
            <family val="3"/>
            <charset val="129"/>
            <scheme val="minor"/>
          </rPr>
          <t>작성예시)</t>
        </r>
        <r>
          <rPr>
            <b/>
            <sz val="9"/>
            <color indexed="81"/>
            <rFont val="맑은 고딕"/>
            <family val="3"/>
            <charset val="129"/>
            <scheme val="minor"/>
          </rPr>
          <t xml:space="preserve"> 
2026-01-02 (금) 
9:00~13:00</t>
        </r>
      </text>
    </comment>
  </commentList>
</comments>
</file>

<file path=xl/sharedStrings.xml><?xml version="1.0" encoding="utf-8"?>
<sst xmlns="http://schemas.openxmlformats.org/spreadsheetml/2006/main" count="226" uniqueCount="52">
  <si>
    <t>결 재</t>
    <phoneticPr fontId="2" type="noConversion"/>
  </si>
  <si>
    <t>팀장</t>
    <phoneticPr fontId="3" type="noConversion"/>
  </si>
  <si>
    <t>성     명</t>
    <phoneticPr fontId="4" type="noConversion"/>
  </si>
  <si>
    <t>홍길동</t>
    <phoneticPr fontId="1" type="noConversion"/>
  </si>
  <si>
    <t>순번</t>
    <phoneticPr fontId="4" type="noConversion"/>
  </si>
  <si>
    <t>수행일자</t>
    <phoneticPr fontId="4" type="noConversion"/>
  </si>
  <si>
    <t>이 하 여 백</t>
    <phoneticPr fontId="1" type="noConversion"/>
  </si>
  <si>
    <t>CFO</t>
  </si>
  <si>
    <t>제외사유</t>
  </si>
  <si>
    <t>신청자 기입란</t>
    <phoneticPr fontId="1" type="noConversion"/>
  </si>
  <si>
    <t>변동사유</t>
    <phoneticPr fontId="1" type="noConversion"/>
  </si>
  <si>
    <t>경영지원팀 확인란</t>
    <phoneticPr fontId="1" type="noConversion"/>
  </si>
  <si>
    <t>대표이사</t>
    <phoneticPr fontId="1" type="noConversion"/>
  </si>
  <si>
    <t xml:space="preserve"> 부서명 / 직위</t>
    <phoneticPr fontId="4" type="noConversion"/>
  </si>
  <si>
    <t>근무내용 
(근무한 내용을 상세하게 기재바랍니다.)</t>
    <phoneticPr fontId="1" type="noConversion"/>
  </si>
  <si>
    <t>제외할 시간
(비근무시간)</t>
    <phoneticPr fontId="4" type="noConversion"/>
  </si>
  <si>
    <t>oooo팀 / 연구원</t>
    <phoneticPr fontId="2" type="noConversion"/>
  </si>
  <si>
    <t>작 성 일</t>
    <phoneticPr fontId="4" type="noConversion"/>
  </si>
  <si>
    <t>신청일</t>
    <phoneticPr fontId="1" type="noConversion"/>
  </si>
  <si>
    <t>신청구분</t>
    <phoneticPr fontId="1" type="noConversion"/>
  </si>
  <si>
    <t>신청시간</t>
    <phoneticPr fontId="4" type="noConversion"/>
  </si>
  <si>
    <t>지급시간</t>
    <phoneticPr fontId="4" type="noConversion"/>
  </si>
  <si>
    <t>근무시작</t>
    <phoneticPr fontId="4" type="noConversion"/>
  </si>
  <si>
    <t>근무종료</t>
    <phoneticPr fontId="4" type="noConversion"/>
  </si>
  <si>
    <t>실 근무시작</t>
    <phoneticPr fontId="1" type="noConversion"/>
  </si>
  <si>
    <t>실 근무종료</t>
    <phoneticPr fontId="1" type="noConversion"/>
  </si>
  <si>
    <t>신청</t>
    <phoneticPr fontId="1" type="noConversion"/>
  </si>
  <si>
    <t>지급</t>
    <phoneticPr fontId="1" type="noConversion"/>
  </si>
  <si>
    <t>고객사OOO 긴급 지원</t>
    <phoneticPr fontId="1" type="noConversion"/>
  </si>
  <si>
    <t>고객사OOO 업데이트 [재택근무]</t>
    <phoneticPr fontId="1" type="noConversion"/>
  </si>
  <si>
    <t>근무시간</t>
    <phoneticPr fontId="1" type="noConversion"/>
  </si>
  <si>
    <t>예시</t>
    <phoneticPr fontId="1" type="noConversion"/>
  </si>
  <si>
    <t>YYYY-MM-DD</t>
    <phoneticPr fontId="1" type="noConversion"/>
  </si>
  <si>
    <t>식사</t>
    <phoneticPr fontId="1" type="noConversion"/>
  </si>
  <si>
    <t>사전/사후</t>
    <phoneticPr fontId="1" type="noConversion"/>
  </si>
  <si>
    <t>yyyy-mm-dd</t>
    <phoneticPr fontId="1" type="noConversion"/>
  </si>
  <si>
    <t>입력하세요</t>
    <phoneticPr fontId="1" type="noConversion"/>
  </si>
  <si>
    <t>대체휴무
지급여부</t>
    <phoneticPr fontId="1" type="noConversion"/>
  </si>
  <si>
    <t>대체휴무
시간</t>
    <phoneticPr fontId="1" type="noConversion"/>
  </si>
  <si>
    <t>비고</t>
    <phoneticPr fontId="1" type="noConversion"/>
  </si>
  <si>
    <t>[고객사 명] 전체 업데이트</t>
    <phoneticPr fontId="1" type="noConversion"/>
  </si>
  <si>
    <t>입력하세요</t>
  </si>
  <si>
    <t>O</t>
    <phoneticPr fontId="1" type="noConversion"/>
  </si>
  <si>
    <t>2026-01-02 (금)
9:00~13:00</t>
    <phoneticPr fontId="1" type="noConversion"/>
  </si>
  <si>
    <t>O</t>
  </si>
  <si>
    <t>X</t>
  </si>
  <si>
    <t>2026-01-06 (화)
9:00~13:00</t>
    <phoneticPr fontId="1" type="noConversion"/>
  </si>
  <si>
    <t>초과근무수당 합계</t>
  </si>
  <si>
    <t>초과근무 신청시 작성</t>
  </si>
  <si>
    <t>초과근무 수당 신청시 작성</t>
  </si>
  <si>
    <t>초과근무수당 처리상세</t>
  </si>
  <si>
    <t>인공지능 개발팀 / 연구원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</si>
</sst>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76" formatCode="yyyy/mm/dd;@"/>
    <numFmt numFmtId="177" formatCode="0.0_);[Red]\(0.0\)"/>
    <numFmt numFmtId="178" formatCode="0#&quot;월 초과근무수당 신청서&quot;"/>
    <numFmt numFmtId="179" formatCode="[hh]:mm"/>
    <numFmt numFmtId="180" formatCode="0#&quot;월 초과근무(수당) 신청서&quot;"/>
    <numFmt numFmtId="181" formatCode="0#&quot;월 연장근무(수당) 신청서&quot;"/>
    <numFmt numFmtId="182" formatCode="yyyy/mm/dd\ \(aaa\)"/>
    <numFmt numFmtId="183" formatCode="0.0_ "/>
  </numFmts>
  <fonts count="2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8"/>
      <name val="함초롬돋움"/>
      <family val="2"/>
      <charset val="129"/>
    </font>
    <font>
      <sz val="8"/>
      <name val="맑은 고딕"/>
      <family val="3"/>
      <charset val="129"/>
    </font>
    <font>
      <sz val="8"/>
      <name val="돋움"/>
      <family val="3"/>
      <charset val="129"/>
    </font>
    <font>
      <b/>
      <sz val="9"/>
      <color indexed="81"/>
      <name val="Tahoma"/>
      <family val="2"/>
    </font>
    <font>
      <sz val="11"/>
      <name val="함초롬돋움"/>
      <family val="3"/>
      <charset val="129"/>
    </font>
    <font>
      <b/>
      <sz val="24"/>
      <name val="함초롬돋움"/>
      <family val="3"/>
      <charset val="129"/>
    </font>
    <font>
      <b/>
      <sz val="10"/>
      <name val="함초롬돋움"/>
      <family val="3"/>
      <charset val="129"/>
    </font>
    <font>
      <b/>
      <sz val="9"/>
      <color theme="1"/>
      <name val="함초롬돋움"/>
      <family val="3"/>
      <charset val="129"/>
    </font>
    <font>
      <b/>
      <sz val="11"/>
      <name val="함초롬돋움"/>
      <family val="3"/>
      <charset val="129"/>
    </font>
    <font>
      <sz val="11"/>
      <color theme="1"/>
      <name val="함초롬돋움"/>
      <family val="3"/>
      <charset val="129"/>
    </font>
    <font>
      <b/>
      <sz val="11"/>
      <color theme="1"/>
      <name val="함초롬돋움"/>
      <family val="3"/>
      <charset val="129"/>
    </font>
    <font>
      <sz val="10"/>
      <color theme="1"/>
      <name val="함초롬돋움"/>
      <family val="3"/>
      <charset val="129"/>
    </font>
    <font>
      <b/>
      <sz val="10"/>
      <color theme="1"/>
      <name val="함초롬돋움"/>
      <family val="3"/>
      <charset val="129"/>
    </font>
    <font>
      <b/>
      <sz val="11"/>
      <name val="맑은 고딕"/>
      <family val="3"/>
      <charset val="129"/>
      <scheme val="minor"/>
    </font>
    <font>
      <sz val="9"/>
      <color indexed="81"/>
      <name val="Tahoma"/>
      <family val="2"/>
    </font>
    <font>
      <b/>
      <sz val="9"/>
      <color indexed="81"/>
      <name val="맑은 고딕"/>
      <family val="3"/>
      <charset val="129"/>
      <scheme val="minor"/>
    </font>
    <font>
      <b/>
      <sz val="9"/>
      <color indexed="10"/>
      <name val="맑은 고딕"/>
      <family val="3"/>
      <charset val="129"/>
      <scheme val="minor"/>
    </font>
    <font>
      <b/>
      <sz val="10"/>
      <color indexed="10"/>
      <name val="맑은 고딕"/>
      <family val="3"/>
      <charset val="129"/>
      <scheme val="minor"/>
    </font>
    <font>
      <b/>
      <sz val="14"/>
      <color indexed="10"/>
      <name val="맑은 고딕"/>
      <family val="3"/>
      <charset val="129"/>
      <scheme val="minor"/>
    </font>
    <font>
      <b/>
      <u/>
      <sz val="10"/>
      <color indexed="10"/>
      <name val="맑은 고딕"/>
      <family val="3"/>
      <charset val="129"/>
      <scheme val="minor"/>
    </font>
    <font>
      <b/>
      <sz val="9"/>
      <color indexed="39"/>
      <name val="맑은 고딕"/>
      <family val="3"/>
      <charset val="129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rgb="FFFDE9D9"/>
        <bgColor indexed="64"/>
      </patternFill>
    </fill>
    <fill>
      <patternFill patternType="solid">
        <fgColor rgb="FFF4CCC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</fills>
  <borders count="36">
    <border>
      <left/>
      <right/>
      <top/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hair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109">
    <xf numFmtId="0" fontId="0" fillId="0" borderId="0" xfId="0">
      <alignment vertical="center"/>
    </xf>
    <xf numFmtId="176" fontId="6" fillId="0" borderId="4" xfId="0" applyNumberFormat="1" applyFont="1" applyBorder="1" applyAlignment="1" applyProtection="1">
      <alignment horizontal="center" vertical="center"/>
      <protection locked="0"/>
    </xf>
    <xf numFmtId="0" fontId="6" fillId="0" borderId="4" xfId="0" applyFont="1" applyBorder="1" applyAlignment="1" applyProtection="1">
      <alignment horizontal="center" vertical="center"/>
      <protection locked="0"/>
    </xf>
    <xf numFmtId="0" fontId="6" fillId="0" borderId="1" xfId="0" applyFont="1" applyBorder="1" applyAlignment="1"/>
    <xf numFmtId="0" fontId="6" fillId="0" borderId="2" xfId="0" applyFont="1" applyBorder="1" applyAlignment="1"/>
    <xf numFmtId="0" fontId="6" fillId="0" borderId="0" xfId="0" applyFont="1" applyAlignment="1"/>
    <xf numFmtId="0" fontId="6" fillId="0" borderId="3" xfId="0" applyFont="1" applyBorder="1" applyAlignment="1"/>
    <xf numFmtId="0" fontId="7" fillId="0" borderId="0" xfId="0" applyFont="1" applyAlignment="1">
      <alignment horizontal="center" vertical="center"/>
    </xf>
    <xf numFmtId="0" fontId="7" fillId="0" borderId="0" xfId="0" applyFont="1">
      <alignment vertical="center"/>
    </xf>
    <xf numFmtId="0" fontId="10" fillId="2" borderId="5" xfId="0" applyFont="1" applyFill="1" applyBorder="1" applyAlignment="1">
      <alignment horizontal="center" vertical="center"/>
    </xf>
    <xf numFmtId="0" fontId="11" fillId="0" borderId="0" xfId="0" applyFont="1">
      <alignment vertical="center"/>
    </xf>
    <xf numFmtId="0" fontId="13" fillId="0" borderId="4" xfId="0" applyFont="1" applyBorder="1" applyAlignment="1">
      <alignment horizontal="center" vertical="center"/>
    </xf>
    <xf numFmtId="0" fontId="10" fillId="2" borderId="9" xfId="0" applyFont="1" applyFill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6" fillId="0" borderId="2" xfId="0" applyFont="1" applyBorder="1" applyAlignment="1">
      <alignment horizontal="center"/>
    </xf>
    <xf numFmtId="0" fontId="6" fillId="0" borderId="0" xfId="0" applyFont="1" applyAlignment="1">
      <alignment horizontal="center"/>
    </xf>
    <xf numFmtId="0" fontId="11" fillId="0" borderId="0" xfId="0" applyFont="1" applyAlignment="1">
      <alignment horizontal="center" vertical="center"/>
    </xf>
    <xf numFmtId="0" fontId="10" fillId="2" borderId="9" xfId="0" applyFont="1" applyFill="1" applyBorder="1" applyAlignment="1">
      <alignment horizontal="center" vertical="center" wrapText="1"/>
    </xf>
    <xf numFmtId="14" fontId="13" fillId="0" borderId="4" xfId="0" applyNumberFormat="1" applyFont="1" applyBorder="1" applyAlignment="1" applyProtection="1">
      <alignment horizontal="center" vertical="center"/>
      <protection locked="0"/>
    </xf>
    <xf numFmtId="180" fontId="7" fillId="0" borderId="0" xfId="0" applyNumberFormat="1" applyFont="1" applyAlignment="1">
      <alignment horizontal="center" vertical="center"/>
    </xf>
    <xf numFmtId="178" fontId="7" fillId="0" borderId="0" xfId="0" applyNumberFormat="1" applyFont="1" applyAlignment="1">
      <alignment horizontal="center" vertical="center"/>
    </xf>
    <xf numFmtId="176" fontId="6" fillId="0" borderId="0" xfId="0" applyNumberFormat="1" applyFont="1" applyAlignment="1">
      <alignment horizontal="center" vertical="center"/>
    </xf>
    <xf numFmtId="0" fontId="10" fillId="2" borderId="5" xfId="0" applyFont="1" applyFill="1" applyBorder="1" applyAlignment="1">
      <alignment horizontal="left" vertical="center"/>
    </xf>
    <xf numFmtId="0" fontId="6" fillId="0" borderId="0" xfId="0" applyFont="1" applyAlignment="1">
      <alignment horizontal="center" vertical="center"/>
    </xf>
    <xf numFmtId="0" fontId="10" fillId="2" borderId="24" xfId="0" applyFont="1" applyFill="1" applyBorder="1" applyAlignment="1">
      <alignment horizontal="center" vertical="center"/>
    </xf>
    <xf numFmtId="0" fontId="10" fillId="2" borderId="25" xfId="0" applyFont="1" applyFill="1" applyBorder="1" applyAlignment="1">
      <alignment horizontal="center" vertical="center"/>
    </xf>
    <xf numFmtId="0" fontId="10" fillId="2" borderId="16" xfId="0" applyFont="1" applyFill="1" applyBorder="1" applyAlignment="1">
      <alignment horizontal="center" vertical="center" wrapText="1"/>
    </xf>
    <xf numFmtId="0" fontId="10" fillId="2" borderId="15" xfId="0" applyFont="1" applyFill="1" applyBorder="1" applyAlignment="1">
      <alignment horizontal="center" vertical="center"/>
    </xf>
    <xf numFmtId="0" fontId="10" fillId="6" borderId="15" xfId="0" applyFont="1" applyFill="1" applyBorder="1" applyAlignment="1">
      <alignment horizontal="center" vertical="center" wrapText="1"/>
    </xf>
    <xf numFmtId="182" fontId="13" fillId="0" borderId="4" xfId="0" applyNumberFormat="1" applyFont="1" applyBorder="1" applyAlignment="1">
      <alignment horizontal="center" vertical="center"/>
    </xf>
    <xf numFmtId="179" fontId="13" fillId="0" borderId="5" xfId="0" applyNumberFormat="1" applyFont="1" applyBorder="1" applyAlignment="1" applyProtection="1">
      <alignment horizontal="center" vertical="center" wrapText="1"/>
      <protection locked="0"/>
    </xf>
    <xf numFmtId="181" fontId="7" fillId="0" borderId="0" xfId="0" applyNumberFormat="1" applyFont="1" applyAlignment="1" applyProtection="1">
      <alignment horizontal="center" vertical="center"/>
      <protection locked="0"/>
    </xf>
    <xf numFmtId="179" fontId="13" fillId="0" borderId="4" xfId="0" applyNumberFormat="1" applyFont="1" applyBorder="1" applyAlignment="1" applyProtection="1">
      <alignment horizontal="center" vertical="center" wrapText="1"/>
      <protection locked="0"/>
    </xf>
    <xf numFmtId="0" fontId="10" fillId="2" borderId="23" xfId="0" applyFont="1" applyFill="1" applyBorder="1" applyAlignment="1">
      <alignment horizontal="center" vertical="center"/>
    </xf>
    <xf numFmtId="183" fontId="13" fillId="8" borderId="4" xfId="0" applyNumberFormat="1" applyFont="1" applyFill="1" applyBorder="1" applyAlignment="1" applyProtection="1">
      <alignment horizontal="center" vertical="center"/>
      <protection locked="0"/>
    </xf>
    <xf numFmtId="0" fontId="10" fillId="2" borderId="26" xfId="0" applyFont="1" applyFill="1" applyBorder="1" applyAlignment="1">
      <alignment horizontal="center" vertical="center"/>
    </xf>
    <xf numFmtId="0" fontId="10" fillId="6" borderId="15" xfId="0" applyFont="1" applyFill="1" applyBorder="1" applyAlignment="1">
      <alignment horizontal="center" vertical="center"/>
    </xf>
    <xf numFmtId="0" fontId="10" fillId="7" borderId="4" xfId="0" applyFont="1" applyFill="1" applyBorder="1" applyAlignment="1">
      <alignment horizontal="center" vertical="center" wrapText="1"/>
    </xf>
    <xf numFmtId="0" fontId="10" fillId="7" borderId="17" xfId="0" applyFont="1" applyFill="1" applyBorder="1" applyAlignment="1">
      <alignment horizontal="center" vertical="center" wrapText="1"/>
    </xf>
    <xf numFmtId="0" fontId="10" fillId="2" borderId="33" xfId="0" applyFont="1" applyFill="1" applyBorder="1" applyAlignment="1">
      <alignment horizontal="center" vertical="center" wrapText="1"/>
    </xf>
    <xf numFmtId="0" fontId="10" fillId="2" borderId="26" xfId="0" applyFont="1" applyFill="1" applyBorder="1" applyAlignment="1">
      <alignment horizontal="center" vertical="center" wrapText="1"/>
    </xf>
    <xf numFmtId="183" fontId="13" fillId="8" borderId="29" xfId="0" applyNumberFormat="1" applyFont="1" applyFill="1" applyBorder="1" applyAlignment="1">
      <alignment horizontal="center" vertical="center"/>
    </xf>
    <xf numFmtId="183" fontId="14" fillId="3" borderId="28" xfId="0" applyNumberFormat="1" applyFont="1" applyFill="1" applyBorder="1" applyAlignment="1">
      <alignment horizontal="center" vertical="center" wrapText="1"/>
    </xf>
    <xf numFmtId="183" fontId="14" fillId="0" borderId="4" xfId="0" applyNumberFormat="1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Continuous"/>
    </xf>
    <xf numFmtId="0" fontId="6" fillId="0" borderId="0" xfId="0" applyFont="1" applyAlignment="1">
      <alignment horizontal="centerContinuous"/>
    </xf>
    <xf numFmtId="181" fontId="7" fillId="0" borderId="0" xfId="0" applyNumberFormat="1" applyFont="1" applyAlignment="1" applyProtection="1">
      <alignment horizontal="centerContinuous" vertical="center"/>
      <protection locked="0"/>
    </xf>
    <xf numFmtId="0" fontId="7" fillId="0" borderId="0" xfId="0" applyFont="1" applyAlignment="1">
      <alignment horizontal="centerContinuous" vertical="center"/>
    </xf>
    <xf numFmtId="0" fontId="11" fillId="0" borderId="0" xfId="0" applyFont="1" applyAlignment="1">
      <alignment horizontal="centerContinuous" vertical="center"/>
    </xf>
    <xf numFmtId="0" fontId="10" fillId="2" borderId="27" xfId="0" applyFont="1" applyFill="1" applyBorder="1" applyAlignment="1">
      <alignment horizontal="centerContinuous" vertical="center"/>
    </xf>
    <xf numFmtId="0" fontId="10" fillId="2" borderId="9" xfId="0" applyFont="1" applyFill="1" applyBorder="1" applyAlignment="1">
      <alignment horizontal="centerContinuous" vertical="center"/>
    </xf>
    <xf numFmtId="177" fontId="12" fillId="0" borderId="24" xfId="0" applyNumberFormat="1" applyFont="1" applyBorder="1" applyAlignment="1">
      <alignment horizontal="center" vertical="center"/>
    </xf>
    <xf numFmtId="177" fontId="12" fillId="0" borderId="25" xfId="0" applyNumberFormat="1" applyFont="1" applyBorder="1" applyAlignment="1">
      <alignment horizontal="center" vertical="center"/>
    </xf>
    <xf numFmtId="183" fontId="13" fillId="8" borderId="17" xfId="0" applyNumberFormat="1" applyFont="1" applyFill="1" applyBorder="1" applyAlignment="1" applyProtection="1">
      <alignment horizontal="center" vertical="center" wrapText="1"/>
      <protection locked="0"/>
    </xf>
    <xf numFmtId="181" fontId="7" fillId="0" borderId="0" xfId="0" applyNumberFormat="1" applyFont="1" applyAlignment="1">
      <alignment horizontal="center" vertical="center"/>
    </xf>
    <xf numFmtId="181" fontId="7" fillId="0" borderId="0" xfId="0" applyNumberFormat="1" applyFont="1" applyAlignment="1">
      <alignment horizontal="centerContinuous" vertical="center"/>
    </xf>
    <xf numFmtId="176" fontId="6" fillId="0" borderId="4" xfId="0" applyNumberFormat="1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14" fontId="13" fillId="0" borderId="4" xfId="0" applyNumberFormat="1" applyFont="1" applyBorder="1" applyAlignment="1">
      <alignment horizontal="center" vertical="center"/>
    </xf>
    <xf numFmtId="179" fontId="13" fillId="0" borderId="5" xfId="0" applyNumberFormat="1" applyFont="1" applyBorder="1" applyAlignment="1">
      <alignment horizontal="center" vertical="center" wrapText="1"/>
    </xf>
    <xf numFmtId="179" fontId="13" fillId="0" borderId="4" xfId="0" applyNumberFormat="1" applyFont="1" applyBorder="1" applyAlignment="1">
      <alignment horizontal="center" vertical="center" wrapText="1"/>
    </xf>
    <xf numFmtId="179" fontId="13" fillId="0" borderId="32" xfId="0" applyNumberFormat="1" applyFont="1" applyBorder="1" applyAlignment="1">
      <alignment horizontal="center" vertical="center" wrapText="1"/>
    </xf>
    <xf numFmtId="177" fontId="13" fillId="8" borderId="4" xfId="0" applyNumberFormat="1" applyFont="1" applyFill="1" applyBorder="1" applyAlignment="1">
      <alignment horizontal="center" vertical="center"/>
    </xf>
    <xf numFmtId="183" fontId="13" fillId="8" borderId="4" xfId="0" applyNumberFormat="1" applyFont="1" applyFill="1" applyBorder="1" applyAlignment="1">
      <alignment horizontal="center" vertical="center"/>
    </xf>
    <xf numFmtId="183" fontId="13" fillId="8" borderId="17" xfId="0" applyNumberFormat="1" applyFont="1" applyFill="1" applyBorder="1" applyAlignment="1">
      <alignment horizontal="center" vertical="center" wrapText="1"/>
    </xf>
    <xf numFmtId="177" fontId="13" fillId="0" borderId="5" xfId="0" applyNumberFormat="1" applyFont="1" applyBorder="1" applyAlignment="1">
      <alignment horizontal="center" vertical="center" wrapText="1"/>
    </xf>
    <xf numFmtId="177" fontId="13" fillId="8" borderId="4" xfId="0" applyNumberFormat="1" applyFont="1" applyFill="1" applyBorder="1" applyAlignment="1" applyProtection="1">
      <alignment horizontal="center" vertical="center"/>
      <protection locked="0"/>
    </xf>
    <xf numFmtId="179" fontId="13" fillId="0" borderId="17" xfId="0" applyNumberFormat="1" applyFont="1" applyBorder="1" applyAlignment="1" applyProtection="1">
      <alignment horizontal="center" vertical="center" wrapText="1"/>
      <protection locked="0"/>
    </xf>
    <xf numFmtId="0" fontId="13" fillId="0" borderId="5" xfId="0" applyFont="1" applyBorder="1" applyAlignment="1" applyProtection="1">
      <alignment horizontal="center" vertical="center" wrapText="1"/>
      <protection locked="0"/>
    </xf>
    <xf numFmtId="0" fontId="13" fillId="0" borderId="7" xfId="0" applyFont="1" applyBorder="1" applyAlignment="1" applyProtection="1">
      <alignment horizontal="center" vertical="center" wrapText="1"/>
      <protection locked="0"/>
    </xf>
    <xf numFmtId="0" fontId="13" fillId="0" borderId="6" xfId="0" applyFont="1" applyBorder="1" applyAlignment="1" applyProtection="1">
      <alignment horizontal="center" vertical="center" wrapText="1"/>
      <protection locked="0"/>
    </xf>
    <xf numFmtId="0" fontId="13" fillId="0" borderId="5" xfId="0" applyFont="1" applyBorder="1" applyAlignment="1" applyProtection="1">
      <alignment horizontal="center" vertical="center"/>
      <protection locked="0"/>
    </xf>
    <xf numFmtId="0" fontId="13" fillId="0" borderId="7" xfId="0" applyFont="1" applyBorder="1" applyAlignment="1" applyProtection="1">
      <alignment horizontal="center" vertical="center"/>
      <protection locked="0"/>
    </xf>
    <xf numFmtId="0" fontId="13" fillId="0" borderId="6" xfId="0" applyFont="1" applyBorder="1" applyAlignment="1" applyProtection="1">
      <alignment horizontal="center" vertical="center"/>
      <protection locked="0"/>
    </xf>
    <xf numFmtId="0" fontId="13" fillId="0" borderId="5" xfId="0" applyFont="1" applyBorder="1" applyAlignment="1">
      <alignment horizontal="center" vertical="center"/>
    </xf>
    <xf numFmtId="0" fontId="13" fillId="0" borderId="6" xfId="0" applyFont="1" applyBorder="1" applyAlignment="1">
      <alignment horizontal="center" vertical="center"/>
    </xf>
    <xf numFmtId="0" fontId="12" fillId="2" borderId="9" xfId="0" applyFont="1" applyFill="1" applyBorder="1" applyAlignment="1">
      <alignment horizontal="center" vertical="center"/>
    </xf>
    <xf numFmtId="180" fontId="7" fillId="0" borderId="0" xfId="0" applyNumberFormat="1" applyFont="1" applyAlignment="1" applyProtection="1">
      <alignment horizontal="center" vertical="center"/>
      <protection locked="0"/>
    </xf>
    <xf numFmtId="0" fontId="8" fillId="2" borderId="4" xfId="0" applyFont="1" applyFill="1" applyBorder="1" applyAlignment="1">
      <alignment horizontal="center" vertical="center"/>
    </xf>
    <xf numFmtId="0" fontId="9" fillId="0" borderId="8" xfId="0" applyFont="1" applyBorder="1" applyAlignment="1">
      <alignment horizontal="center" vertical="center"/>
    </xf>
    <xf numFmtId="0" fontId="9" fillId="0" borderId="10" xfId="0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12" fillId="2" borderId="12" xfId="0" applyFont="1" applyFill="1" applyBorder="1" applyAlignment="1">
      <alignment horizontal="center" vertical="center"/>
    </xf>
    <xf numFmtId="0" fontId="12" fillId="2" borderId="11" xfId="0" applyFont="1" applyFill="1" applyBorder="1" applyAlignment="1">
      <alignment horizontal="center" vertical="center"/>
    </xf>
    <xf numFmtId="0" fontId="12" fillId="2" borderId="18" xfId="0" applyFont="1" applyFill="1" applyBorder="1" applyAlignment="1">
      <alignment horizontal="center" vertical="center"/>
    </xf>
    <xf numFmtId="0" fontId="15" fillId="5" borderId="34" xfId="0" applyFont="1" applyFill="1" applyBorder="1" applyAlignment="1">
      <alignment horizontal="center" vertical="center"/>
    </xf>
    <xf numFmtId="0" fontId="15" fillId="5" borderId="11" xfId="0" applyFont="1" applyFill="1" applyBorder="1" applyAlignment="1">
      <alignment horizontal="center" vertical="center"/>
    </xf>
    <xf numFmtId="0" fontId="15" fillId="5" borderId="18" xfId="0" applyFont="1" applyFill="1" applyBorder="1" applyAlignment="1">
      <alignment horizontal="center" vertical="center"/>
    </xf>
    <xf numFmtId="0" fontId="10" fillId="2" borderId="26" xfId="0" applyFont="1" applyFill="1" applyBorder="1" applyAlignment="1">
      <alignment horizontal="center" vertical="center"/>
    </xf>
    <xf numFmtId="0" fontId="10" fillId="2" borderId="19" xfId="0" applyFont="1" applyFill="1" applyBorder="1" applyAlignment="1">
      <alignment horizontal="center" vertical="center" wrapText="1"/>
    </xf>
    <xf numFmtId="0" fontId="10" fillId="2" borderId="21" xfId="0" applyFont="1" applyFill="1" applyBorder="1" applyAlignment="1">
      <alignment horizontal="center" vertical="center" wrapText="1"/>
    </xf>
    <xf numFmtId="0" fontId="10" fillId="2" borderId="20" xfId="0" applyFont="1" applyFill="1" applyBorder="1" applyAlignment="1">
      <alignment horizontal="center" vertical="center" wrapText="1"/>
    </xf>
    <xf numFmtId="0" fontId="15" fillId="9" borderId="12" xfId="0" applyFont="1" applyFill="1" applyBorder="1" applyAlignment="1">
      <alignment horizontal="center" vertical="center"/>
    </xf>
    <xf numFmtId="0" fontId="15" fillId="9" borderId="11" xfId="0" applyFont="1" applyFill="1" applyBorder="1" applyAlignment="1">
      <alignment horizontal="center" vertical="center"/>
    </xf>
    <xf numFmtId="0" fontId="15" fillId="9" borderId="30" xfId="0" applyFont="1" applyFill="1" applyBorder="1" applyAlignment="1">
      <alignment horizontal="center" vertical="center"/>
    </xf>
    <xf numFmtId="0" fontId="15" fillId="9" borderId="31" xfId="0" applyFont="1" applyFill="1" applyBorder="1" applyAlignment="1">
      <alignment horizontal="center" vertical="center"/>
    </xf>
    <xf numFmtId="0" fontId="13" fillId="0" borderId="5" xfId="0" applyFont="1" applyBorder="1" applyAlignment="1">
      <alignment horizontal="center" vertical="center" wrapText="1"/>
    </xf>
    <xf numFmtId="0" fontId="13" fillId="0" borderId="7" xfId="0" applyFont="1" applyBorder="1" applyAlignment="1">
      <alignment horizontal="center" vertical="center" wrapText="1"/>
    </xf>
    <xf numFmtId="0" fontId="13" fillId="0" borderId="6" xfId="0" applyFont="1" applyBorder="1" applyAlignment="1">
      <alignment horizontal="center" vertical="center" wrapText="1"/>
    </xf>
    <xf numFmtId="0" fontId="10" fillId="2" borderId="22" xfId="0" applyFont="1" applyFill="1" applyBorder="1" applyAlignment="1">
      <alignment horizontal="center" vertical="center"/>
    </xf>
    <xf numFmtId="0" fontId="10" fillId="2" borderId="23" xfId="0" applyFont="1" applyFill="1" applyBorder="1" applyAlignment="1">
      <alignment horizontal="center" vertical="center"/>
    </xf>
    <xf numFmtId="0" fontId="12" fillId="4" borderId="13" xfId="0" applyFont="1" applyFill="1" applyBorder="1" applyAlignment="1">
      <alignment horizontal="center" vertical="center"/>
    </xf>
    <xf numFmtId="0" fontId="12" fillId="4" borderId="14" xfId="0" applyFont="1" applyFill="1" applyBorder="1" applyAlignment="1">
      <alignment horizontal="center" vertical="center"/>
    </xf>
    <xf numFmtId="0" fontId="12" fillId="4" borderId="35" xfId="0" applyFont="1" applyFill="1" applyBorder="1" applyAlignment="1">
      <alignment horizontal="center" vertical="center"/>
    </xf>
    <xf numFmtId="0" fontId="10" fillId="2" borderId="12" xfId="0" applyFont="1" applyFill="1" applyBorder="1" applyAlignment="1">
      <alignment horizontal="center" vertical="center"/>
    </xf>
    <xf numFmtId="0" fontId="10" fillId="2" borderId="11" xfId="0" applyFont="1" applyFill="1" applyBorder="1" applyAlignment="1">
      <alignment horizontal="center" vertical="center"/>
    </xf>
    <xf numFmtId="0" fontId="10" fillId="2" borderId="18" xfId="0" applyFont="1" applyFill="1" applyBorder="1" applyAlignment="1">
      <alignment horizontal="center" vertical="center"/>
    </xf>
    <xf numFmtId="180" fontId="7" fillId="0" borderId="0" xfId="0" applyNumberFormat="1" applyFont="1" applyAlignment="1">
      <alignment horizontal="center" vertical="center"/>
    </xf>
    <xf numFmtId="0" fontId="13" fillId="0" borderId="7" xfId="0" applyFont="1" applyBorder="1" applyAlignment="1">
      <alignment horizontal="center" vertical="center"/>
    </xf>
  </cellXfs>
  <cellStyles count="1">
    <cellStyle name="표준" xfId="0" builtinId="0"/>
  </cellStyles>
  <dxfs count="12">
    <dxf>
      <font>
        <color rgb="FF9C0006"/>
      </font>
      <fill>
        <patternFill>
          <bgColor rgb="FFFFC7CE"/>
        </patternFill>
      </fill>
    </dxf>
    <dxf>
      <font>
        <b val="0"/>
        <i/>
        <color theme="2" tint="-0.24994659260841701"/>
      </font>
    </dxf>
    <dxf>
      <font>
        <color rgb="FF9C0006"/>
      </font>
      <fill>
        <patternFill>
          <bgColor rgb="FFFFC7CE"/>
        </patternFill>
      </fill>
    </dxf>
    <dxf>
      <font>
        <color theme="1"/>
      </font>
      <fill>
        <patternFill>
          <bgColor theme="7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/>
        <color theme="2" tint="-0.24994659260841701"/>
      </font>
    </dxf>
    <dxf>
      <font>
        <color rgb="FF9C0006"/>
      </font>
      <fill>
        <patternFill>
          <bgColor rgb="FFFFC7CE"/>
        </patternFill>
      </fill>
    </dxf>
    <dxf>
      <font>
        <color theme="1"/>
      </font>
      <fill>
        <patternFill>
          <bgColor theme="7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/>
        <color theme="2" tint="-0.24994659260841701"/>
      </font>
    </dxf>
    <dxf>
      <font>
        <color rgb="FF9C0006"/>
      </font>
      <fill>
        <patternFill>
          <bgColor rgb="FFFFC7CE"/>
        </patternFill>
      </fill>
    </dxf>
    <dxf>
      <font>
        <color theme="1"/>
      </font>
      <fill>
        <patternFill>
          <bgColor theme="7" tint="0.39994506668294322"/>
        </patternFill>
      </fill>
    </dxf>
  </dxfs>
  <tableStyles count="0" defaultTableStyle="TableStyleMedium2" defaultPivotStyle="PivotStyleLight16"/>
  <colors>
    <mruColors>
      <color rgb="FFFFFFCC"/>
      <color rgb="FFF4CCCC"/>
      <color rgb="FFFDE9D9"/>
      <color rgb="FFD9EAF7"/>
      <color rgb="FFFEA890"/>
      <color rgb="FFFE886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2</xdr:row>
      <xdr:rowOff>295274</xdr:rowOff>
    </xdr:from>
    <xdr:to>
      <xdr:col>11</xdr:col>
      <xdr:colOff>0</xdr:colOff>
      <xdr:row>3</xdr:row>
      <xdr:rowOff>104775</xdr:rowOff>
    </xdr:to>
    <xdr:grpSp>
      <xdr:nvGrpSpPr>
        <xdr:cNvPr id="2" name="그룹 1">
          <a:extLst>
            <a:ext uri="{FF2B5EF4-FFF2-40B4-BE49-F238E27FC236}">
              <a16:creationId xmlns:a16="http://schemas.microsoft.com/office/drawing/2014/main" id="{C88C14B3-711C-40AE-A720-4FB0C69DC6D4}"/>
            </a:ext>
          </a:extLst>
        </xdr:cNvPr>
        <xdr:cNvGrpSpPr/>
      </xdr:nvGrpSpPr>
      <xdr:grpSpPr>
        <a:xfrm>
          <a:off x="489857" y="785131"/>
          <a:ext cx="8776607" cy="108858"/>
          <a:chOff x="314325" y="495300"/>
          <a:chExt cx="3600450" cy="47625"/>
        </a:xfrm>
      </xdr:grpSpPr>
      <xdr:sp macro="" textlink="">
        <xdr:nvSpPr>
          <xdr:cNvPr id="3" name="Line 1">
            <a:extLst>
              <a:ext uri="{FF2B5EF4-FFF2-40B4-BE49-F238E27FC236}">
                <a16:creationId xmlns:a16="http://schemas.microsoft.com/office/drawing/2014/main" id="{71F53C90-1969-6D8F-FE15-CB24D8F021B1}"/>
              </a:ext>
            </a:extLst>
          </xdr:cNvPr>
          <xdr:cNvSpPr>
            <a:spLocks noChangeShapeType="1"/>
          </xdr:cNvSpPr>
        </xdr:nvSpPr>
        <xdr:spPr bwMode="auto">
          <a:xfrm>
            <a:off x="390525" y="495300"/>
            <a:ext cx="3419475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" name="Line 2">
            <a:extLst>
              <a:ext uri="{FF2B5EF4-FFF2-40B4-BE49-F238E27FC236}">
                <a16:creationId xmlns:a16="http://schemas.microsoft.com/office/drawing/2014/main" id="{FB23FD10-B401-81B5-7DF0-4A8BFD6B1D1C}"/>
              </a:ext>
            </a:extLst>
          </xdr:cNvPr>
          <xdr:cNvSpPr>
            <a:spLocks noChangeShapeType="1"/>
          </xdr:cNvSpPr>
        </xdr:nvSpPr>
        <xdr:spPr bwMode="auto">
          <a:xfrm>
            <a:off x="314325" y="542925"/>
            <a:ext cx="3600450" cy="0"/>
          </a:xfrm>
          <a:prstGeom prst="line">
            <a:avLst/>
          </a:prstGeom>
          <a:noFill/>
          <a:ln w="19050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21</xdr:col>
      <xdr:colOff>262218</xdr:colOff>
      <xdr:row>1</xdr:row>
      <xdr:rowOff>50425</xdr:rowOff>
    </xdr:from>
    <xdr:to>
      <xdr:col>25</xdr:col>
      <xdr:colOff>437029</xdr:colOff>
      <xdr:row>7</xdr:row>
      <xdr:rowOff>22411</xdr:rowOff>
    </xdr:to>
    <xdr:sp macro="" textlink="">
      <xdr:nvSpPr>
        <xdr:cNvPr id="5" name="직사각형 4">
          <a:extLst>
            <a:ext uri="{FF2B5EF4-FFF2-40B4-BE49-F238E27FC236}">
              <a16:creationId xmlns:a16="http://schemas.microsoft.com/office/drawing/2014/main" id="{F4BC56F0-8ACA-41C3-9F23-22F25D387177}"/>
            </a:ext>
          </a:extLst>
        </xdr:cNvPr>
        <xdr:cNvSpPr/>
      </xdr:nvSpPr>
      <xdr:spPr>
        <a:xfrm>
          <a:off x="21250836" y="240925"/>
          <a:ext cx="2909046" cy="1563221"/>
        </a:xfrm>
        <a:prstGeom prst="rect">
          <a:avLst/>
        </a:prstGeom>
        <a:solidFill>
          <a:srgbClr val="FFFFCC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ko-KR" altLang="en-US" sz="1400" b="1">
              <a:solidFill>
                <a:srgbClr val="FF0000"/>
              </a:solidFill>
              <a:latin typeface="+mn-ea"/>
              <a:ea typeface="+mn-ea"/>
            </a:rPr>
            <a:t>④ 신청서 제출 </a:t>
          </a:r>
          <a:r>
            <a:rPr lang="en-US" altLang="ko-KR" sz="1400" b="1">
              <a:solidFill>
                <a:srgbClr val="FF0000"/>
              </a:solidFill>
              <a:latin typeface="+mn-ea"/>
              <a:ea typeface="+mn-ea"/>
            </a:rPr>
            <a:t>(</a:t>
          </a:r>
          <a:r>
            <a:rPr lang="ko-KR" altLang="en-US" sz="1400" b="1">
              <a:solidFill>
                <a:srgbClr val="FF0000"/>
              </a:solidFill>
              <a:latin typeface="+mn-ea"/>
              <a:ea typeface="+mn-ea"/>
            </a:rPr>
            <a:t>승인요청</a:t>
          </a:r>
          <a:r>
            <a:rPr lang="en-US" altLang="ko-KR" sz="1400" b="1">
              <a:solidFill>
                <a:srgbClr val="FF0000"/>
              </a:solidFill>
              <a:latin typeface="+mn-ea"/>
              <a:ea typeface="+mn-ea"/>
            </a:rPr>
            <a:t>)</a:t>
          </a:r>
        </a:p>
        <a:p>
          <a:pPr algn="l"/>
          <a:endParaRPr lang="en-US" altLang="ko-KR" sz="1000" b="1">
            <a:solidFill>
              <a:srgbClr val="FF0000"/>
            </a:solidFill>
            <a:latin typeface="+mn-ea"/>
            <a:ea typeface="+mn-ea"/>
          </a:endParaRPr>
        </a:p>
        <a:p>
          <a:pPr algn="l"/>
          <a:r>
            <a:rPr lang="ko-KR" altLang="en-US" sz="1000" b="1">
              <a:solidFill>
                <a:sysClr val="windowText" lastClr="000000"/>
              </a:solidFill>
              <a:latin typeface="+mn-ea"/>
              <a:ea typeface="+mn-ea"/>
              <a:cs typeface="Tahoma" panose="020B0604030504040204" pitchFamily="34" charset="0"/>
            </a:rPr>
            <a:t>팀장님에게 메일로 승인요청 </a:t>
          </a:r>
          <a:r>
            <a:rPr lang="en-US" altLang="ko-KR" sz="1000" b="1">
              <a:solidFill>
                <a:sysClr val="windowText" lastClr="000000"/>
              </a:solidFill>
              <a:latin typeface="+mn-ea"/>
              <a:ea typeface="+mn-ea"/>
              <a:cs typeface="Tahoma" panose="020B0604030504040204" pitchFamily="34" charset="0"/>
            </a:rPr>
            <a:t>(</a:t>
          </a:r>
          <a:r>
            <a:rPr lang="ko-KR" altLang="en-US" sz="1000" b="1">
              <a:solidFill>
                <a:sysClr val="windowText" lastClr="000000"/>
              </a:solidFill>
              <a:latin typeface="+mn-ea"/>
              <a:ea typeface="+mn-ea"/>
              <a:cs typeface="Tahoma" panose="020B0604030504040204" pitchFamily="34" charset="0"/>
            </a:rPr>
            <a:t>첨부 </a:t>
          </a:r>
          <a:r>
            <a:rPr lang="en-US" altLang="ko-KR" sz="1000" b="1">
              <a:solidFill>
                <a:sysClr val="windowText" lastClr="000000"/>
              </a:solidFill>
              <a:latin typeface="+mn-ea"/>
              <a:ea typeface="+mn-ea"/>
              <a:cs typeface="Tahoma" panose="020B0604030504040204" pitchFamily="34" charset="0"/>
            </a:rPr>
            <a:t>: </a:t>
          </a:r>
          <a:r>
            <a:rPr lang="ko-KR" altLang="en-US" sz="1000" b="1">
              <a:solidFill>
                <a:sysClr val="windowText" lastClr="000000"/>
              </a:solidFill>
              <a:latin typeface="+mn-ea"/>
              <a:ea typeface="+mn-ea"/>
              <a:cs typeface="Tahoma" panose="020B0604030504040204" pitchFamily="34" charset="0"/>
            </a:rPr>
            <a:t>신청서</a:t>
          </a:r>
          <a:r>
            <a:rPr lang="en-US" altLang="ko-KR" sz="1000" b="1">
              <a:solidFill>
                <a:sysClr val="windowText" lastClr="000000"/>
              </a:solidFill>
              <a:latin typeface="+mn-ea"/>
              <a:ea typeface="+mn-ea"/>
              <a:cs typeface="Tahoma" panose="020B0604030504040204" pitchFamily="34" charset="0"/>
            </a:rPr>
            <a:t>)</a:t>
          </a:r>
        </a:p>
        <a:p>
          <a:pPr algn="l"/>
          <a:r>
            <a:rPr lang="en-US" altLang="ko-KR" sz="1000" b="1">
              <a:solidFill>
                <a:sysClr val="windowText" lastClr="000000"/>
              </a:solidFill>
              <a:latin typeface="+mn-ea"/>
              <a:ea typeface="+mn-ea"/>
              <a:cs typeface="Tahoma" panose="020B0604030504040204" pitchFamily="34" charset="0"/>
            </a:rPr>
            <a:t>* </a:t>
          </a:r>
          <a:r>
            <a:rPr lang="ko-KR" altLang="en-US" sz="1000" b="1">
              <a:solidFill>
                <a:sysClr val="windowText" lastClr="000000"/>
              </a:solidFill>
              <a:latin typeface="+mn-ea"/>
              <a:ea typeface="+mn-ea"/>
              <a:cs typeface="Tahoma" panose="020B0604030504040204" pitchFamily="34" charset="0"/>
            </a:rPr>
            <a:t>일자별로 개별 신청</a:t>
          </a:r>
          <a:r>
            <a:rPr lang="ko-KR" altLang="en-US" sz="1000" b="1" baseline="0">
              <a:solidFill>
                <a:sysClr val="windowText" lastClr="000000"/>
              </a:solidFill>
              <a:latin typeface="+mn-ea"/>
              <a:ea typeface="+mn-ea"/>
              <a:cs typeface="Tahoma" panose="020B0604030504040204" pitchFamily="34" charset="0"/>
            </a:rPr>
            <a:t> 필수</a:t>
          </a:r>
          <a:r>
            <a:rPr lang="en-US" altLang="ko-KR" sz="1000" b="1" baseline="0">
              <a:solidFill>
                <a:sysClr val="windowText" lastClr="000000"/>
              </a:solidFill>
              <a:latin typeface="+mn-ea"/>
              <a:ea typeface="+mn-ea"/>
              <a:cs typeface="Tahoma" panose="020B0604030504040204" pitchFamily="34" charset="0"/>
            </a:rPr>
            <a:t> </a:t>
          </a:r>
        </a:p>
        <a:p>
          <a:pPr algn="l"/>
          <a:r>
            <a:rPr lang="en-US" altLang="ko-KR" sz="1000" b="1" baseline="0">
              <a:solidFill>
                <a:sysClr val="windowText" lastClr="000000"/>
              </a:solidFill>
              <a:latin typeface="+mn-ea"/>
              <a:ea typeface="+mn-ea"/>
              <a:cs typeface="Tahoma" panose="020B0604030504040204" pitchFamily="34" charset="0"/>
            </a:rPr>
            <a:t>(</a:t>
          </a:r>
          <a:r>
            <a:rPr lang="ko-KR" altLang="en-US" sz="1000" b="1" baseline="0">
              <a:solidFill>
                <a:sysClr val="windowText" lastClr="000000"/>
              </a:solidFill>
              <a:latin typeface="+mn-ea"/>
              <a:ea typeface="+mn-ea"/>
              <a:cs typeface="Tahoma" panose="020B0604030504040204" pitchFamily="34" charset="0"/>
            </a:rPr>
            <a:t>사후 신청은 초과근무 종료 후 </a:t>
          </a:r>
          <a:r>
            <a:rPr lang="en-US" altLang="ko-KR" sz="1000" b="1" baseline="0">
              <a:solidFill>
                <a:sysClr val="windowText" lastClr="000000"/>
              </a:solidFill>
              <a:latin typeface="+mn-ea"/>
              <a:ea typeface="+mn-ea"/>
              <a:cs typeface="Tahoma" panose="020B0604030504040204" pitchFamily="34" charset="0"/>
            </a:rPr>
            <a:t>3</a:t>
          </a:r>
          <a:r>
            <a:rPr lang="ko-KR" altLang="en-US" sz="1000" b="1" baseline="0">
              <a:solidFill>
                <a:sysClr val="windowText" lastClr="000000"/>
              </a:solidFill>
              <a:latin typeface="+mn-ea"/>
              <a:ea typeface="+mn-ea"/>
              <a:cs typeface="Tahoma" panose="020B0604030504040204" pitchFamily="34" charset="0"/>
            </a:rPr>
            <a:t>일 이내</a:t>
          </a:r>
          <a:r>
            <a:rPr lang="en-US" altLang="ko-KR" sz="1000" b="1" baseline="0">
              <a:solidFill>
                <a:sysClr val="windowText" lastClr="000000"/>
              </a:solidFill>
              <a:latin typeface="+mn-ea"/>
              <a:ea typeface="+mn-ea"/>
              <a:cs typeface="Tahoma" panose="020B0604030504040204" pitchFamily="34" charset="0"/>
            </a:rPr>
            <a:t> )</a:t>
          </a:r>
        </a:p>
        <a:p>
          <a:pPr algn="l"/>
          <a:r>
            <a:rPr lang="en-US" altLang="ko-KR" sz="1000" b="1" baseline="0">
              <a:solidFill>
                <a:sysClr val="windowText" lastClr="000000"/>
              </a:solidFill>
              <a:latin typeface="+mn-ea"/>
              <a:ea typeface="+mn-ea"/>
              <a:cs typeface="Tahoma" panose="020B0604030504040204" pitchFamily="34" charset="0"/>
            </a:rPr>
            <a:t>* </a:t>
          </a:r>
          <a:r>
            <a:rPr lang="ko-KR" altLang="en-US" sz="1000" b="1">
              <a:solidFill>
                <a:sysClr val="windowText" lastClr="000000"/>
              </a:solidFill>
              <a:latin typeface="+mn-ea"/>
              <a:ea typeface="+mn-ea"/>
              <a:cs typeface="Tahoma" panose="020B0604030504040204" pitchFamily="34" charset="0"/>
            </a:rPr>
            <a:t>승인이 완료된 건에 한하여 지급됩니다</a:t>
          </a:r>
          <a:r>
            <a:rPr lang="en-US" altLang="ko-KR" sz="1000" b="1">
              <a:solidFill>
                <a:sysClr val="windowText" lastClr="000000"/>
              </a:solidFill>
              <a:latin typeface="+mn-ea"/>
              <a:ea typeface="+mn-ea"/>
              <a:cs typeface="Tahoma" panose="020B0604030504040204" pitchFamily="34" charset="0"/>
            </a:rPr>
            <a:t>. </a:t>
          </a:r>
          <a:r>
            <a:rPr lang="ko-KR" altLang="en-US" sz="1000" b="1">
              <a:solidFill>
                <a:sysClr val="windowText" lastClr="000000"/>
              </a:solidFill>
              <a:latin typeface="+mn-ea"/>
              <a:ea typeface="+mn-ea"/>
              <a:cs typeface="Tahoma" panose="020B0604030504040204" pitchFamily="34" charset="0"/>
            </a:rPr>
            <a:t>ㅁ</a:t>
          </a:r>
          <a:endParaRPr lang="en-US" altLang="ko-KR" sz="1000" b="1">
            <a:solidFill>
              <a:sysClr val="windowText" lastClr="000000"/>
            </a:solidFill>
            <a:latin typeface="+mn-ea"/>
            <a:ea typeface="+mn-ea"/>
            <a:cs typeface="Tahoma" panose="020B0604030504040204" pitchFamily="34" charset="0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2</xdr:row>
      <xdr:rowOff>295274</xdr:rowOff>
    </xdr:from>
    <xdr:to>
      <xdr:col>11</xdr:col>
      <xdr:colOff>0</xdr:colOff>
      <xdr:row>3</xdr:row>
      <xdr:rowOff>104775</xdr:rowOff>
    </xdr:to>
    <xdr:grpSp>
      <xdr:nvGrpSpPr>
        <xdr:cNvPr id="2" name="그룹 1">
          <a:extLst>
            <a:ext uri="{FF2B5EF4-FFF2-40B4-BE49-F238E27FC236}">
              <a16:creationId xmlns:a16="http://schemas.microsoft.com/office/drawing/2014/main" id="{81F36069-1705-4136-8EA5-39BAF1D52107}"/>
            </a:ext>
          </a:extLst>
        </xdr:cNvPr>
        <xdr:cNvGrpSpPr/>
      </xdr:nvGrpSpPr>
      <xdr:grpSpPr>
        <a:xfrm>
          <a:off x="504265" y="777127"/>
          <a:ext cx="8796617" cy="100854"/>
          <a:chOff x="314325" y="495300"/>
          <a:chExt cx="3600450" cy="47625"/>
        </a:xfrm>
      </xdr:grpSpPr>
      <xdr:sp macro="" textlink="">
        <xdr:nvSpPr>
          <xdr:cNvPr id="3" name="Line 1">
            <a:extLst>
              <a:ext uri="{FF2B5EF4-FFF2-40B4-BE49-F238E27FC236}">
                <a16:creationId xmlns:a16="http://schemas.microsoft.com/office/drawing/2014/main" id="{2243FDA5-EB71-E6CB-6ACE-6ECBEE82DFBB}"/>
              </a:ext>
            </a:extLst>
          </xdr:cNvPr>
          <xdr:cNvSpPr>
            <a:spLocks noChangeShapeType="1"/>
          </xdr:cNvSpPr>
        </xdr:nvSpPr>
        <xdr:spPr bwMode="auto">
          <a:xfrm>
            <a:off x="390525" y="495300"/>
            <a:ext cx="3419475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" name="Line 2">
            <a:extLst>
              <a:ext uri="{FF2B5EF4-FFF2-40B4-BE49-F238E27FC236}">
                <a16:creationId xmlns:a16="http://schemas.microsoft.com/office/drawing/2014/main" id="{0A36614B-9F4B-6752-73C1-FA32FBD4FF30}"/>
              </a:ext>
            </a:extLst>
          </xdr:cNvPr>
          <xdr:cNvSpPr>
            <a:spLocks noChangeShapeType="1"/>
          </xdr:cNvSpPr>
        </xdr:nvSpPr>
        <xdr:spPr bwMode="auto">
          <a:xfrm>
            <a:off x="314325" y="542925"/>
            <a:ext cx="3600450" cy="0"/>
          </a:xfrm>
          <a:prstGeom prst="line">
            <a:avLst/>
          </a:prstGeom>
          <a:noFill/>
          <a:ln w="19050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21</xdr:col>
      <xdr:colOff>262218</xdr:colOff>
      <xdr:row>1</xdr:row>
      <xdr:rowOff>50425</xdr:rowOff>
    </xdr:from>
    <xdr:to>
      <xdr:col>25</xdr:col>
      <xdr:colOff>437029</xdr:colOff>
      <xdr:row>7</xdr:row>
      <xdr:rowOff>22411</xdr:rowOff>
    </xdr:to>
    <xdr:sp macro="" textlink="">
      <xdr:nvSpPr>
        <xdr:cNvPr id="5" name="직사각형 4">
          <a:extLst>
            <a:ext uri="{FF2B5EF4-FFF2-40B4-BE49-F238E27FC236}">
              <a16:creationId xmlns:a16="http://schemas.microsoft.com/office/drawing/2014/main" id="{C85314BE-3AAA-4418-8AAB-CA4F273118A8}"/>
            </a:ext>
          </a:extLst>
        </xdr:cNvPr>
        <xdr:cNvSpPr/>
      </xdr:nvSpPr>
      <xdr:spPr>
        <a:xfrm>
          <a:off x="18131118" y="240925"/>
          <a:ext cx="2965636" cy="1572186"/>
        </a:xfrm>
        <a:prstGeom prst="rect">
          <a:avLst/>
        </a:prstGeom>
        <a:solidFill>
          <a:srgbClr val="FFFFCC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ko-KR" altLang="en-US" sz="1400" b="1">
              <a:solidFill>
                <a:srgbClr val="FF0000"/>
              </a:solidFill>
              <a:latin typeface="+mn-ea"/>
              <a:ea typeface="+mn-ea"/>
            </a:rPr>
            <a:t>④ 신청서 제출 </a:t>
          </a:r>
          <a:r>
            <a:rPr lang="en-US" altLang="ko-KR" sz="1400" b="1">
              <a:solidFill>
                <a:srgbClr val="FF0000"/>
              </a:solidFill>
              <a:latin typeface="+mn-ea"/>
              <a:ea typeface="+mn-ea"/>
            </a:rPr>
            <a:t>(</a:t>
          </a:r>
          <a:r>
            <a:rPr lang="ko-KR" altLang="en-US" sz="1400" b="1">
              <a:solidFill>
                <a:srgbClr val="FF0000"/>
              </a:solidFill>
              <a:latin typeface="+mn-ea"/>
              <a:ea typeface="+mn-ea"/>
            </a:rPr>
            <a:t>승인요청</a:t>
          </a:r>
          <a:r>
            <a:rPr lang="en-US" altLang="ko-KR" sz="1400" b="1">
              <a:solidFill>
                <a:srgbClr val="FF0000"/>
              </a:solidFill>
              <a:latin typeface="+mn-ea"/>
              <a:ea typeface="+mn-ea"/>
            </a:rPr>
            <a:t>)</a:t>
          </a:r>
        </a:p>
        <a:p>
          <a:pPr algn="l"/>
          <a:endParaRPr lang="en-US" altLang="ko-KR" sz="1000" b="1">
            <a:solidFill>
              <a:srgbClr val="FF0000"/>
            </a:solidFill>
            <a:latin typeface="+mn-ea"/>
            <a:ea typeface="+mn-ea"/>
          </a:endParaRPr>
        </a:p>
        <a:p>
          <a:pPr algn="l"/>
          <a:r>
            <a:rPr lang="ko-KR" altLang="en-US" sz="1000" b="1">
              <a:solidFill>
                <a:sysClr val="windowText" lastClr="000000"/>
              </a:solidFill>
              <a:latin typeface="+mn-ea"/>
              <a:ea typeface="+mn-ea"/>
              <a:cs typeface="Tahoma" panose="020B0604030504040204" pitchFamily="34" charset="0"/>
            </a:rPr>
            <a:t>팀장님에게 메일로 승인요청 </a:t>
          </a:r>
          <a:r>
            <a:rPr lang="en-US" altLang="ko-KR" sz="1000" b="1">
              <a:solidFill>
                <a:sysClr val="windowText" lastClr="000000"/>
              </a:solidFill>
              <a:latin typeface="+mn-ea"/>
              <a:ea typeface="+mn-ea"/>
              <a:cs typeface="Tahoma" panose="020B0604030504040204" pitchFamily="34" charset="0"/>
            </a:rPr>
            <a:t>(</a:t>
          </a:r>
          <a:r>
            <a:rPr lang="ko-KR" altLang="en-US" sz="1000" b="1">
              <a:solidFill>
                <a:sysClr val="windowText" lastClr="000000"/>
              </a:solidFill>
              <a:latin typeface="+mn-ea"/>
              <a:ea typeface="+mn-ea"/>
              <a:cs typeface="Tahoma" panose="020B0604030504040204" pitchFamily="34" charset="0"/>
            </a:rPr>
            <a:t>첨부 </a:t>
          </a:r>
          <a:r>
            <a:rPr lang="en-US" altLang="ko-KR" sz="1000" b="1">
              <a:solidFill>
                <a:sysClr val="windowText" lastClr="000000"/>
              </a:solidFill>
              <a:latin typeface="+mn-ea"/>
              <a:ea typeface="+mn-ea"/>
              <a:cs typeface="Tahoma" panose="020B0604030504040204" pitchFamily="34" charset="0"/>
            </a:rPr>
            <a:t>: </a:t>
          </a:r>
          <a:r>
            <a:rPr lang="ko-KR" altLang="en-US" sz="1000" b="1">
              <a:solidFill>
                <a:sysClr val="windowText" lastClr="000000"/>
              </a:solidFill>
              <a:latin typeface="+mn-ea"/>
              <a:ea typeface="+mn-ea"/>
              <a:cs typeface="Tahoma" panose="020B0604030504040204" pitchFamily="34" charset="0"/>
            </a:rPr>
            <a:t>신청서</a:t>
          </a:r>
          <a:r>
            <a:rPr lang="en-US" altLang="ko-KR" sz="1000" b="1">
              <a:solidFill>
                <a:sysClr val="windowText" lastClr="000000"/>
              </a:solidFill>
              <a:latin typeface="+mn-ea"/>
              <a:ea typeface="+mn-ea"/>
              <a:cs typeface="Tahoma" panose="020B0604030504040204" pitchFamily="34" charset="0"/>
            </a:rPr>
            <a:t>)</a:t>
          </a:r>
        </a:p>
        <a:p>
          <a:pPr algn="l"/>
          <a:r>
            <a:rPr lang="en-US" altLang="ko-KR" sz="1000" b="1">
              <a:solidFill>
                <a:sysClr val="windowText" lastClr="000000"/>
              </a:solidFill>
              <a:latin typeface="+mn-ea"/>
              <a:ea typeface="+mn-ea"/>
              <a:cs typeface="Tahoma" panose="020B0604030504040204" pitchFamily="34" charset="0"/>
            </a:rPr>
            <a:t>* </a:t>
          </a:r>
          <a:r>
            <a:rPr lang="ko-KR" altLang="en-US" sz="1000" b="1">
              <a:solidFill>
                <a:sysClr val="windowText" lastClr="000000"/>
              </a:solidFill>
              <a:latin typeface="+mn-ea"/>
              <a:ea typeface="+mn-ea"/>
              <a:cs typeface="Tahoma" panose="020B0604030504040204" pitchFamily="34" charset="0"/>
            </a:rPr>
            <a:t>일자별로 개별 신청</a:t>
          </a:r>
          <a:r>
            <a:rPr lang="ko-KR" altLang="en-US" sz="1000" b="1" baseline="0">
              <a:solidFill>
                <a:sysClr val="windowText" lastClr="000000"/>
              </a:solidFill>
              <a:latin typeface="+mn-ea"/>
              <a:ea typeface="+mn-ea"/>
              <a:cs typeface="Tahoma" panose="020B0604030504040204" pitchFamily="34" charset="0"/>
            </a:rPr>
            <a:t> 필수</a:t>
          </a:r>
          <a:r>
            <a:rPr lang="en-US" altLang="ko-KR" sz="1000" b="1" baseline="0">
              <a:solidFill>
                <a:sysClr val="windowText" lastClr="000000"/>
              </a:solidFill>
              <a:latin typeface="+mn-ea"/>
              <a:ea typeface="+mn-ea"/>
              <a:cs typeface="Tahoma" panose="020B0604030504040204" pitchFamily="34" charset="0"/>
            </a:rPr>
            <a:t> </a:t>
          </a:r>
        </a:p>
        <a:p>
          <a:pPr algn="l"/>
          <a:r>
            <a:rPr lang="en-US" altLang="ko-KR" sz="1000" b="1" baseline="0">
              <a:solidFill>
                <a:sysClr val="windowText" lastClr="000000"/>
              </a:solidFill>
              <a:latin typeface="+mn-ea"/>
              <a:ea typeface="+mn-ea"/>
              <a:cs typeface="Tahoma" panose="020B0604030504040204" pitchFamily="34" charset="0"/>
            </a:rPr>
            <a:t>(</a:t>
          </a:r>
          <a:r>
            <a:rPr lang="ko-KR" altLang="en-US" sz="1000" b="1" baseline="0">
              <a:solidFill>
                <a:sysClr val="windowText" lastClr="000000"/>
              </a:solidFill>
              <a:latin typeface="+mn-ea"/>
              <a:ea typeface="+mn-ea"/>
              <a:cs typeface="Tahoma" panose="020B0604030504040204" pitchFamily="34" charset="0"/>
            </a:rPr>
            <a:t>사후 신청은 연장근무 종료 후 </a:t>
          </a:r>
          <a:r>
            <a:rPr lang="en-US" altLang="ko-KR" sz="1000" b="1" baseline="0">
              <a:solidFill>
                <a:sysClr val="windowText" lastClr="000000"/>
              </a:solidFill>
              <a:latin typeface="+mn-ea"/>
              <a:ea typeface="+mn-ea"/>
              <a:cs typeface="Tahoma" panose="020B0604030504040204" pitchFamily="34" charset="0"/>
            </a:rPr>
            <a:t>3</a:t>
          </a:r>
          <a:r>
            <a:rPr lang="ko-KR" altLang="en-US" sz="1000" b="1" baseline="0">
              <a:solidFill>
                <a:sysClr val="windowText" lastClr="000000"/>
              </a:solidFill>
              <a:latin typeface="+mn-ea"/>
              <a:ea typeface="+mn-ea"/>
              <a:cs typeface="Tahoma" panose="020B0604030504040204" pitchFamily="34" charset="0"/>
            </a:rPr>
            <a:t>일 이내</a:t>
          </a:r>
          <a:r>
            <a:rPr lang="en-US" altLang="ko-KR" sz="1000" b="1" baseline="0">
              <a:solidFill>
                <a:sysClr val="windowText" lastClr="000000"/>
              </a:solidFill>
              <a:latin typeface="+mn-ea"/>
              <a:ea typeface="+mn-ea"/>
              <a:cs typeface="Tahoma" panose="020B0604030504040204" pitchFamily="34" charset="0"/>
            </a:rPr>
            <a:t> )</a:t>
          </a:r>
        </a:p>
        <a:p>
          <a:pPr algn="l"/>
          <a:r>
            <a:rPr lang="en-US" altLang="ko-KR" sz="1000" b="1" baseline="0">
              <a:solidFill>
                <a:sysClr val="windowText" lastClr="000000"/>
              </a:solidFill>
              <a:latin typeface="+mn-ea"/>
              <a:ea typeface="+mn-ea"/>
              <a:cs typeface="Tahoma" panose="020B0604030504040204" pitchFamily="34" charset="0"/>
            </a:rPr>
            <a:t>* </a:t>
          </a:r>
          <a:r>
            <a:rPr lang="ko-KR" altLang="en-US" sz="1000" b="1">
              <a:solidFill>
                <a:sysClr val="windowText" lastClr="000000"/>
              </a:solidFill>
              <a:latin typeface="+mn-ea"/>
              <a:ea typeface="+mn-ea"/>
              <a:cs typeface="Tahoma" panose="020B0604030504040204" pitchFamily="34" charset="0"/>
            </a:rPr>
            <a:t>승인이 완료된 건에 한하여 지급됩니다</a:t>
          </a:r>
          <a:r>
            <a:rPr lang="en-US" altLang="ko-KR" sz="1000" b="1">
              <a:solidFill>
                <a:sysClr val="windowText" lastClr="000000"/>
              </a:solidFill>
              <a:latin typeface="+mn-ea"/>
              <a:ea typeface="+mn-ea"/>
              <a:cs typeface="Tahoma" panose="020B0604030504040204" pitchFamily="34" charset="0"/>
            </a:rPr>
            <a:t>. </a:t>
          </a:r>
        </a:p>
      </xdr:txBody>
    </xdr:sp>
    <xdr:clientData/>
  </xdr:twoCellAnchor>
  <xdr:twoCellAnchor>
    <xdr:from>
      <xdr:col>1</xdr:col>
      <xdr:colOff>89647</xdr:colOff>
      <xdr:row>0</xdr:row>
      <xdr:rowOff>145677</xdr:rowOff>
    </xdr:from>
    <xdr:to>
      <xdr:col>11</xdr:col>
      <xdr:colOff>273984</xdr:colOff>
      <xdr:row>3</xdr:row>
      <xdr:rowOff>117101</xdr:rowOff>
    </xdr:to>
    <xdr:sp macro="" textlink="">
      <xdr:nvSpPr>
        <xdr:cNvPr id="6" name="직사각형 5">
          <a:extLst>
            <a:ext uri="{FF2B5EF4-FFF2-40B4-BE49-F238E27FC236}">
              <a16:creationId xmlns:a16="http://schemas.microsoft.com/office/drawing/2014/main" id="{6AFDB026-FE49-4CCB-BF44-814D714DC062}"/>
            </a:ext>
          </a:extLst>
        </xdr:cNvPr>
        <xdr:cNvSpPr/>
      </xdr:nvSpPr>
      <xdr:spPr>
        <a:xfrm>
          <a:off x="190500" y="145677"/>
          <a:ext cx="9384366" cy="744630"/>
        </a:xfrm>
        <a:prstGeom prst="rect">
          <a:avLst/>
        </a:prstGeom>
        <a:noFill/>
        <a:ln w="57150">
          <a:solidFill>
            <a:srgbClr val="0070C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oneCellAnchor>
    <xdr:from>
      <xdr:col>8</xdr:col>
      <xdr:colOff>212911</xdr:colOff>
      <xdr:row>0</xdr:row>
      <xdr:rowOff>78441</xdr:rowOff>
    </xdr:from>
    <xdr:ext cx="714375" cy="680502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DC35A614-480B-46CB-86B7-FECB4E7C7485}"/>
            </a:ext>
          </a:extLst>
        </xdr:cNvPr>
        <xdr:cNvSpPr txBox="1"/>
      </xdr:nvSpPr>
      <xdr:spPr>
        <a:xfrm>
          <a:off x="7463117" y="78441"/>
          <a:ext cx="714375" cy="68050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ko-KR" altLang="en-US" sz="4400" b="1">
              <a:solidFill>
                <a:srgbClr val="0070C0"/>
              </a:solidFill>
            </a:rPr>
            <a:t>①</a:t>
          </a:r>
        </a:p>
      </xdr:txBody>
    </xdr:sp>
    <xdr:clientData/>
  </xdr:oneCellAnchor>
  <xdr:twoCellAnchor>
    <xdr:from>
      <xdr:col>2</xdr:col>
      <xdr:colOff>1</xdr:colOff>
      <xdr:row>5</xdr:row>
      <xdr:rowOff>22411</xdr:rowOff>
    </xdr:from>
    <xdr:to>
      <xdr:col>4</xdr:col>
      <xdr:colOff>22413</xdr:colOff>
      <xdr:row>8</xdr:row>
      <xdr:rowOff>12886</xdr:rowOff>
    </xdr:to>
    <xdr:sp macro="" textlink="">
      <xdr:nvSpPr>
        <xdr:cNvPr id="8" name="직사각형 7">
          <a:extLst>
            <a:ext uri="{FF2B5EF4-FFF2-40B4-BE49-F238E27FC236}">
              <a16:creationId xmlns:a16="http://schemas.microsoft.com/office/drawing/2014/main" id="{874C7175-75F6-4FFE-B11E-644CBACEBA6E}"/>
            </a:ext>
          </a:extLst>
        </xdr:cNvPr>
        <xdr:cNvSpPr/>
      </xdr:nvSpPr>
      <xdr:spPr>
        <a:xfrm>
          <a:off x="504266" y="1221440"/>
          <a:ext cx="3025588" cy="864534"/>
        </a:xfrm>
        <a:prstGeom prst="rect">
          <a:avLst/>
        </a:prstGeom>
        <a:noFill/>
        <a:ln w="57150">
          <a:solidFill>
            <a:srgbClr val="0070C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oneCellAnchor>
    <xdr:from>
      <xdr:col>3</xdr:col>
      <xdr:colOff>605117</xdr:colOff>
      <xdr:row>4</xdr:row>
      <xdr:rowOff>56030</xdr:rowOff>
    </xdr:from>
    <xdr:ext cx="819150" cy="1068049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B44E4FFC-6B9D-4C25-89E7-5518393BE4E5}"/>
            </a:ext>
          </a:extLst>
        </xdr:cNvPr>
        <xdr:cNvSpPr txBox="1"/>
      </xdr:nvSpPr>
      <xdr:spPr>
        <a:xfrm>
          <a:off x="2162735" y="1042148"/>
          <a:ext cx="819150" cy="106804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ko-KR" altLang="en-US" sz="4400" b="1">
              <a:solidFill>
                <a:srgbClr val="0070C0"/>
              </a:solidFill>
            </a:rPr>
            <a:t>②</a:t>
          </a:r>
        </a:p>
      </xdr:txBody>
    </xdr:sp>
    <xdr:clientData/>
  </xdr:oneCellAnchor>
  <xdr:oneCellAnchor>
    <xdr:from>
      <xdr:col>5</xdr:col>
      <xdr:colOff>437029</xdr:colOff>
      <xdr:row>22</xdr:row>
      <xdr:rowOff>100852</xdr:rowOff>
    </xdr:from>
    <xdr:ext cx="819150" cy="1068049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5647AE99-1128-4CB1-A1A5-FEBA24890EF2}"/>
            </a:ext>
          </a:extLst>
        </xdr:cNvPr>
        <xdr:cNvSpPr txBox="1"/>
      </xdr:nvSpPr>
      <xdr:spPr>
        <a:xfrm>
          <a:off x="5053853" y="6757146"/>
          <a:ext cx="819150" cy="106804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ko-KR" altLang="en-US" sz="4400" b="1">
              <a:solidFill>
                <a:srgbClr val="0070C0"/>
              </a:solidFill>
            </a:rPr>
            <a:t>③</a:t>
          </a:r>
        </a:p>
      </xdr:txBody>
    </xdr:sp>
    <xdr:clientData/>
  </xdr:oneCellAnchor>
  <xdr:twoCellAnchor>
    <xdr:from>
      <xdr:col>3</xdr:col>
      <xdr:colOff>717176</xdr:colOff>
      <xdr:row>25</xdr:row>
      <xdr:rowOff>22411</xdr:rowOff>
    </xdr:from>
    <xdr:to>
      <xdr:col>9</xdr:col>
      <xdr:colOff>661146</xdr:colOff>
      <xdr:row>42</xdr:row>
      <xdr:rowOff>0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A673ED62-7645-4E33-BA1B-E7638BFBD378}"/>
            </a:ext>
          </a:extLst>
        </xdr:cNvPr>
        <xdr:cNvSpPr txBox="1"/>
      </xdr:nvSpPr>
      <xdr:spPr>
        <a:xfrm>
          <a:off x="2274794" y="7720852"/>
          <a:ext cx="6320117" cy="5883089"/>
        </a:xfrm>
        <a:prstGeom prst="rect">
          <a:avLst/>
        </a:prstGeom>
        <a:solidFill>
          <a:schemeClr val="bg2"/>
        </a:solidFill>
        <a:ln w="28575" cmpd="sng">
          <a:solidFill>
            <a:srgbClr val="0070C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ko-KR" altLang="en-US" b="1">
              <a:latin typeface="고딕"/>
            </a:rPr>
            <a:t>초과근무 신청 </a:t>
          </a:r>
          <a:r>
            <a:rPr lang="en-US" altLang="ko-KR" b="1">
              <a:latin typeface="고딕"/>
            </a:rPr>
            <a:t>:  </a:t>
          </a:r>
          <a:r>
            <a:rPr lang="ko-KR" altLang="en-US" b="1">
              <a:latin typeface="고딕"/>
            </a:rPr>
            <a:t>초과근로 신청서 작성</a:t>
          </a:r>
          <a:r>
            <a:rPr lang="ko-KR" altLang="en-US" b="1" baseline="0">
              <a:latin typeface="고딕"/>
            </a:rPr>
            <a:t> </a:t>
          </a:r>
          <a:r>
            <a:rPr lang="en-US" altLang="ko-KR" b="1">
              <a:latin typeface="고딕"/>
            </a:rPr>
            <a:t>(</a:t>
          </a:r>
          <a:r>
            <a:rPr lang="ko-KR" altLang="en-US" b="1">
              <a:latin typeface="고딕"/>
            </a:rPr>
            <a:t>사전</a:t>
          </a:r>
          <a:r>
            <a:rPr lang="en-US" altLang="ko-KR" b="1">
              <a:latin typeface="고딕"/>
            </a:rPr>
            <a:t>/</a:t>
          </a:r>
          <a:r>
            <a:rPr lang="ko-KR" altLang="en-US" b="1">
              <a:latin typeface="고딕"/>
            </a:rPr>
            <a:t>사후</a:t>
          </a:r>
          <a:r>
            <a:rPr lang="en-US" altLang="ko-KR" b="1">
              <a:latin typeface="고딕"/>
            </a:rPr>
            <a:t>)</a:t>
          </a:r>
        </a:p>
        <a:p>
          <a:r>
            <a:rPr lang="en-US" altLang="ko-KR">
              <a:latin typeface="고딕"/>
            </a:rPr>
            <a:t>※ </a:t>
          </a:r>
          <a:r>
            <a:rPr lang="ko-KR" altLang="en-US">
              <a:latin typeface="고딕"/>
            </a:rPr>
            <a:t>신청서는 월별로 누적하여 신청</a:t>
          </a:r>
          <a:r>
            <a:rPr lang="en-US" altLang="ko-KR">
              <a:latin typeface="고딕"/>
            </a:rPr>
            <a:t>/</a:t>
          </a:r>
          <a:r>
            <a:rPr lang="ko-KR" altLang="en-US">
              <a:latin typeface="고딕"/>
            </a:rPr>
            <a:t>관리</a:t>
          </a:r>
          <a:endParaRPr lang="en-US" altLang="ko-KR">
            <a:latin typeface="고딕"/>
          </a:endParaRPr>
        </a:p>
        <a:p>
          <a:r>
            <a:rPr lang="en-US" altLang="ko-K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※</a:t>
          </a:r>
          <a:r>
            <a:rPr lang="ko-KR" alt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일자별로</a:t>
          </a:r>
          <a:r>
            <a:rPr lang="ko-KR" alt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개별 신청 필수</a:t>
          </a:r>
          <a:r>
            <a:rPr lang="en-US" altLang="ko-KR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</a:t>
          </a:r>
          <a:r>
            <a:rPr lang="ko-KR" alt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사후신청은 연장근무 종료 후 </a:t>
          </a:r>
          <a:r>
            <a:rPr lang="en-US" altLang="ko-K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3</a:t>
          </a:r>
          <a:r>
            <a:rPr lang="ko-KR" alt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일 이내 신청</a:t>
          </a:r>
          <a:r>
            <a:rPr lang="en-US" altLang="ko-K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)</a:t>
          </a:r>
        </a:p>
        <a:p>
          <a:endParaRPr lang="ko-KR" altLang="en-US">
            <a:latin typeface="고딕"/>
          </a:endParaRPr>
        </a:p>
        <a:p>
          <a:r>
            <a:rPr lang="en-US" altLang="ko-KR" b="1">
              <a:latin typeface="고딕"/>
            </a:rPr>
            <a:t>1. </a:t>
          </a:r>
          <a:r>
            <a:rPr lang="ko-KR" altLang="en-US" b="1">
              <a:latin typeface="고딕"/>
            </a:rPr>
            <a:t>근무 내용 기재</a:t>
          </a:r>
          <a:r>
            <a:rPr lang="en-US" altLang="ko-KR" b="1">
              <a:latin typeface="고딕"/>
            </a:rPr>
            <a:t>:</a:t>
          </a:r>
          <a:br>
            <a:rPr lang="ko-KR" altLang="en-US">
              <a:latin typeface="고딕"/>
            </a:rPr>
          </a:br>
          <a:r>
            <a:rPr lang="ko-KR" altLang="en-US">
              <a:latin typeface="고딕"/>
            </a:rPr>
            <a:t>→ 초과근무를 수행한</a:t>
          </a:r>
          <a:r>
            <a:rPr lang="en-US" altLang="ko-KR">
              <a:latin typeface="고딕"/>
            </a:rPr>
            <a:t>(</a:t>
          </a:r>
          <a:r>
            <a:rPr lang="ko-KR" altLang="en-US">
              <a:latin typeface="고딕"/>
            </a:rPr>
            <a:t>할</a:t>
          </a:r>
          <a:r>
            <a:rPr lang="en-US" altLang="ko-KR">
              <a:latin typeface="고딕"/>
            </a:rPr>
            <a:t>) </a:t>
          </a:r>
          <a:r>
            <a:rPr lang="ko-KR" altLang="en-US">
              <a:latin typeface="고딕"/>
            </a:rPr>
            <a:t>일자를 찾고 그 옆에 수행한</a:t>
          </a:r>
          <a:r>
            <a:rPr lang="en-US" altLang="ko-KR">
              <a:latin typeface="고딕"/>
            </a:rPr>
            <a:t>(</a:t>
          </a:r>
          <a:r>
            <a:rPr lang="ko-KR" altLang="en-US">
              <a:latin typeface="고딕"/>
            </a:rPr>
            <a:t>할</a:t>
          </a:r>
          <a:r>
            <a:rPr lang="en-US" altLang="ko-KR">
              <a:latin typeface="고딕"/>
            </a:rPr>
            <a:t>) </a:t>
          </a:r>
          <a:r>
            <a:rPr lang="ko-KR" altLang="en-US">
              <a:latin typeface="고딕"/>
            </a:rPr>
            <a:t>업무에 대해 기재</a:t>
          </a:r>
          <a:r>
            <a:rPr lang="en-US" altLang="ko-KR">
              <a:latin typeface="고딕"/>
            </a:rPr>
            <a:t>. </a:t>
          </a:r>
          <a:r>
            <a:rPr lang="ko-KR" altLang="en-US">
              <a:latin typeface="고딕"/>
            </a:rPr>
            <a:t>해당 시간 내 다수의 고객사 지원 또는 여러 사유로 근무한 경우</a:t>
          </a:r>
          <a:r>
            <a:rPr lang="en-US" altLang="ko-KR">
              <a:latin typeface="고딕"/>
            </a:rPr>
            <a:t>, </a:t>
          </a:r>
          <a:r>
            <a:rPr lang="ko-KR" altLang="en-US">
              <a:latin typeface="고딕"/>
            </a:rPr>
            <a:t>가장 비중이 큰 업무를 기재하고 나머지는 간략히 작성</a:t>
          </a:r>
          <a:r>
            <a:rPr lang="en-US" altLang="ko-KR">
              <a:latin typeface="고딕"/>
            </a:rPr>
            <a:t>.</a:t>
          </a:r>
        </a:p>
        <a:p>
          <a:r>
            <a:rPr lang="ko-KR" altLang="ko-K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→ </a:t>
          </a:r>
          <a:r>
            <a:rPr lang="ko-KR" alt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재택근무시 </a:t>
          </a:r>
          <a:r>
            <a:rPr lang="en-US" altLang="ko-K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[</a:t>
          </a:r>
          <a:r>
            <a:rPr lang="ko-KR" alt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재택근무</a:t>
          </a:r>
          <a:r>
            <a:rPr lang="en-US" altLang="ko-K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]</a:t>
          </a:r>
          <a:r>
            <a:rPr lang="en-US" altLang="ko-KR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ko-KR" alt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입력 필수 </a:t>
          </a:r>
          <a:endParaRPr lang="en-US" altLang="ko-KR" sz="110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en-US" altLang="ko-KR">
            <a:latin typeface="고딕"/>
          </a:endParaRPr>
        </a:p>
        <a:p>
          <a:r>
            <a:rPr lang="en-US" altLang="ko-KR" b="1">
              <a:latin typeface="고딕"/>
            </a:rPr>
            <a:t>2. </a:t>
          </a:r>
          <a:r>
            <a:rPr lang="ko-KR" altLang="en-US" b="1">
              <a:latin typeface="고딕"/>
            </a:rPr>
            <a:t>신청일 기재</a:t>
          </a:r>
          <a:r>
            <a:rPr lang="en-US" altLang="ko-KR" b="1">
              <a:latin typeface="고딕"/>
            </a:rPr>
            <a:t>:</a:t>
          </a:r>
          <a:br>
            <a:rPr lang="ko-KR" altLang="en-US">
              <a:latin typeface="고딕"/>
            </a:rPr>
          </a:br>
          <a:r>
            <a:rPr lang="ko-KR" altLang="en-US">
              <a:latin typeface="고딕"/>
            </a:rPr>
            <a:t>→ 이번에 새로</a:t>
          </a:r>
          <a:r>
            <a:rPr lang="en-US" altLang="ko-KR" baseline="0">
              <a:latin typeface="고딕"/>
            </a:rPr>
            <a:t> </a:t>
          </a:r>
          <a:r>
            <a:rPr lang="ko-KR" altLang="en-US" baseline="0">
              <a:latin typeface="고딕"/>
            </a:rPr>
            <a:t>승인받을</a:t>
          </a:r>
          <a:r>
            <a:rPr lang="ko-KR" altLang="en-US">
              <a:latin typeface="고딕"/>
            </a:rPr>
            <a:t> 항목에 대해서만 작성일과 동일하게 기재</a:t>
          </a:r>
          <a:br>
            <a:rPr lang="ko-KR" altLang="en-US">
              <a:latin typeface="고딕"/>
            </a:rPr>
          </a:br>
          <a:r>
            <a:rPr lang="en-US" altLang="ko-KR">
              <a:latin typeface="고딕"/>
            </a:rPr>
            <a:t>(</a:t>
          </a:r>
          <a:r>
            <a:rPr lang="ko-KR" altLang="en-US">
              <a:latin typeface="고딕"/>
            </a:rPr>
            <a:t>예</a:t>
          </a:r>
          <a:r>
            <a:rPr lang="en-US" altLang="ko-KR">
              <a:latin typeface="고딕"/>
            </a:rPr>
            <a:t>: </a:t>
          </a:r>
          <a:r>
            <a:rPr lang="ko-KR" altLang="en-US">
              <a:latin typeface="고딕"/>
            </a:rPr>
            <a:t>매달 초과근로하여 당일마다 신청할 경우 신청일이 각각 달라짐</a:t>
          </a:r>
          <a:r>
            <a:rPr lang="en-US" altLang="ko-KR">
              <a:latin typeface="고딕"/>
            </a:rPr>
            <a:t>)</a:t>
          </a:r>
        </a:p>
        <a:p>
          <a:endParaRPr lang="en-US" altLang="ko-KR">
            <a:latin typeface="고딕"/>
          </a:endParaRPr>
        </a:p>
        <a:p>
          <a:r>
            <a:rPr lang="en-US" altLang="ko-KR" b="1">
              <a:latin typeface="고딕"/>
            </a:rPr>
            <a:t>3. </a:t>
          </a:r>
          <a:r>
            <a:rPr lang="ko-KR" altLang="en-US" b="1">
              <a:latin typeface="고딕"/>
            </a:rPr>
            <a:t>신청구분</a:t>
          </a:r>
          <a:r>
            <a:rPr lang="en-US" altLang="ko-KR" b="1">
              <a:latin typeface="고딕"/>
            </a:rPr>
            <a:t>:</a:t>
          </a:r>
          <a:r>
            <a:rPr lang="en-US" altLang="ko-KR" b="0" baseline="0">
              <a:latin typeface="고딕"/>
            </a:rPr>
            <a:t> </a:t>
          </a:r>
          <a:r>
            <a:rPr lang="ko-KR" altLang="en-US">
              <a:latin typeface="고딕"/>
            </a:rPr>
            <a:t>자동입력</a:t>
          </a:r>
          <a:br>
            <a:rPr lang="en-US" altLang="ko-KR">
              <a:latin typeface="고딕"/>
            </a:rPr>
          </a:br>
          <a:r>
            <a:rPr lang="en-US" altLang="ko-KR">
              <a:latin typeface="고딕"/>
            </a:rPr>
            <a:t>→ </a:t>
          </a:r>
          <a:r>
            <a:rPr lang="ko-KR" altLang="en-US">
              <a:latin typeface="고딕"/>
            </a:rPr>
            <a:t>신청일을 작성하면 신청 구분</a:t>
          </a:r>
          <a:r>
            <a:rPr lang="en-US" altLang="ko-KR">
              <a:latin typeface="고딕"/>
            </a:rPr>
            <a:t>(</a:t>
          </a:r>
          <a:r>
            <a:rPr lang="ko-KR" altLang="en-US">
              <a:latin typeface="고딕"/>
            </a:rPr>
            <a:t>사전</a:t>
          </a:r>
          <a:r>
            <a:rPr lang="en-US" altLang="ko-KR">
              <a:latin typeface="고딕"/>
            </a:rPr>
            <a:t>/</a:t>
          </a:r>
          <a:r>
            <a:rPr lang="ko-KR" altLang="en-US">
              <a:latin typeface="고딕"/>
            </a:rPr>
            <a:t>사후</a:t>
          </a:r>
          <a:r>
            <a:rPr lang="en-US" altLang="ko-KR">
              <a:latin typeface="고딕"/>
            </a:rPr>
            <a:t>)</a:t>
          </a:r>
          <a:r>
            <a:rPr lang="ko-KR" altLang="en-US">
              <a:latin typeface="고딕"/>
            </a:rPr>
            <a:t>이 자동 입력됨</a:t>
          </a:r>
          <a:br>
            <a:rPr lang="ko-KR" altLang="en-US">
              <a:latin typeface="고딕"/>
            </a:rPr>
          </a:br>
          <a:r>
            <a:rPr lang="en-US" altLang="ko-KR">
              <a:latin typeface="고딕"/>
            </a:rPr>
            <a:t>(</a:t>
          </a:r>
          <a:r>
            <a:rPr lang="ko-KR" altLang="en-US">
              <a:latin typeface="고딕"/>
            </a:rPr>
            <a:t>당일 신청 건은 사전신청으로 자동 입력됨</a:t>
          </a:r>
          <a:r>
            <a:rPr lang="en-US" altLang="ko-KR">
              <a:latin typeface="고딕"/>
            </a:rPr>
            <a:t>)</a:t>
          </a:r>
        </a:p>
        <a:p>
          <a:endParaRPr lang="en-US" altLang="ko-KR">
            <a:latin typeface="고딕"/>
          </a:endParaRPr>
        </a:p>
        <a:p>
          <a:r>
            <a:rPr lang="en-US" altLang="ko-KR" b="1">
              <a:latin typeface="고딕"/>
            </a:rPr>
            <a:t>4. </a:t>
          </a:r>
          <a:r>
            <a:rPr lang="ko-KR" altLang="en-US" b="1">
              <a:latin typeface="고딕"/>
            </a:rPr>
            <a:t>근무시작과 종료시간 기재</a:t>
          </a:r>
          <a:endParaRPr lang="ko-KR" altLang="en-US">
            <a:latin typeface="고딕"/>
          </a:endParaRPr>
        </a:p>
        <a:p>
          <a:pPr lvl="0"/>
          <a:r>
            <a:rPr lang="en-US" altLang="ko-KR" sz="1100">
              <a:solidFill>
                <a:schemeClr val="dk1"/>
              </a:solidFill>
              <a:effectLst/>
              <a:latin typeface="고딕"/>
              <a:ea typeface="+mn-ea"/>
              <a:cs typeface="+mn-cs"/>
            </a:rPr>
            <a:t>→ </a:t>
          </a:r>
          <a:r>
            <a:rPr lang="ko-KR" altLang="en-US" b="1">
              <a:latin typeface="고딕"/>
            </a:rPr>
            <a:t>사전신청</a:t>
          </a:r>
          <a:r>
            <a:rPr lang="en-US" altLang="ko-KR" b="1">
              <a:latin typeface="고딕"/>
            </a:rPr>
            <a:t>:</a:t>
          </a:r>
          <a:r>
            <a:rPr lang="ko-KR" altLang="en-US">
              <a:latin typeface="고딕"/>
            </a:rPr>
            <a:t> </a:t>
          </a:r>
          <a:r>
            <a:rPr lang="ko-KR" altLang="en-US" b="0">
              <a:latin typeface="고딕"/>
            </a:rPr>
            <a:t>근무 </a:t>
          </a:r>
          <a:r>
            <a:rPr lang="en-US" altLang="ko-KR" b="0">
              <a:latin typeface="고딕"/>
            </a:rPr>
            <a:t>'</a:t>
          </a:r>
          <a:r>
            <a:rPr lang="ko-KR" altLang="en-US" b="0">
              <a:latin typeface="고딕"/>
            </a:rPr>
            <a:t>예정</a:t>
          </a:r>
          <a:r>
            <a:rPr lang="en-US" altLang="ko-KR" b="0">
              <a:latin typeface="고딕"/>
            </a:rPr>
            <a:t>'</a:t>
          </a:r>
          <a:r>
            <a:rPr lang="ko-KR" altLang="en-US" b="0">
              <a:latin typeface="고딕"/>
            </a:rPr>
            <a:t> 시작과 종료 </a:t>
          </a:r>
          <a:r>
            <a:rPr lang="en-US" altLang="ko-KR" b="0">
              <a:latin typeface="고딕"/>
            </a:rPr>
            <a:t>'</a:t>
          </a:r>
          <a:r>
            <a:rPr lang="ko-KR" altLang="en-US" b="0">
              <a:latin typeface="고딕"/>
            </a:rPr>
            <a:t>예정</a:t>
          </a:r>
          <a:r>
            <a:rPr lang="en-US" altLang="ko-KR" b="0">
              <a:latin typeface="고딕"/>
            </a:rPr>
            <a:t>'</a:t>
          </a:r>
          <a:r>
            <a:rPr lang="ko-KR" altLang="en-US" b="0">
              <a:latin typeface="고딕"/>
            </a:rPr>
            <a:t> 시간을 기재</a:t>
          </a:r>
        </a:p>
        <a:p>
          <a:pPr lvl="0"/>
          <a:r>
            <a:rPr lang="en-US" altLang="ko-KR" sz="1100">
              <a:solidFill>
                <a:schemeClr val="dk1"/>
              </a:solidFill>
              <a:effectLst/>
              <a:latin typeface="고딕"/>
              <a:ea typeface="+mn-ea"/>
              <a:cs typeface="+mn-cs"/>
            </a:rPr>
            <a:t>→ </a:t>
          </a:r>
          <a:r>
            <a:rPr lang="ko-KR" altLang="en-US" b="1">
              <a:latin typeface="고딕"/>
            </a:rPr>
            <a:t>사후신청</a:t>
          </a:r>
          <a:r>
            <a:rPr lang="en-US" altLang="ko-KR" b="1">
              <a:latin typeface="고딕"/>
            </a:rPr>
            <a:t>:</a:t>
          </a:r>
          <a:r>
            <a:rPr lang="ko-KR" altLang="en-US">
              <a:latin typeface="고딕"/>
            </a:rPr>
            <a:t> 근무</a:t>
          </a:r>
          <a:r>
            <a:rPr lang="ko-KR" altLang="en-US" baseline="0">
              <a:latin typeface="고딕"/>
            </a:rPr>
            <a:t> </a:t>
          </a:r>
          <a:r>
            <a:rPr lang="en-US" altLang="ko-KR" baseline="0">
              <a:latin typeface="고딕"/>
            </a:rPr>
            <a:t>'</a:t>
          </a:r>
          <a:r>
            <a:rPr lang="ko-KR" altLang="en-US" baseline="0">
              <a:latin typeface="고딕"/>
            </a:rPr>
            <a:t>실제</a:t>
          </a:r>
          <a:r>
            <a:rPr lang="en-US" altLang="ko-KR" baseline="0">
              <a:latin typeface="고딕"/>
            </a:rPr>
            <a:t>' </a:t>
          </a:r>
          <a:r>
            <a:rPr lang="ko-KR" altLang="en-US" baseline="0">
              <a:latin typeface="고딕"/>
            </a:rPr>
            <a:t>시작과 종료 </a:t>
          </a:r>
          <a:r>
            <a:rPr lang="en-US" altLang="ko-KR" baseline="0">
              <a:latin typeface="고딕"/>
            </a:rPr>
            <a:t>'</a:t>
          </a:r>
          <a:r>
            <a:rPr lang="ko-KR" altLang="en-US" baseline="0">
              <a:latin typeface="고딕"/>
            </a:rPr>
            <a:t>실제</a:t>
          </a:r>
          <a:r>
            <a:rPr lang="en-US" altLang="ko-KR" baseline="0">
              <a:latin typeface="고딕"/>
            </a:rPr>
            <a:t>' </a:t>
          </a:r>
          <a:r>
            <a:rPr lang="ko-KR" altLang="en-US" baseline="0">
              <a:latin typeface="고딕"/>
            </a:rPr>
            <a:t>시간을 </a:t>
          </a:r>
          <a:r>
            <a:rPr lang="ko-KR" altLang="en-US" b="0" baseline="0">
              <a:latin typeface="고딕"/>
            </a:rPr>
            <a:t>기재</a:t>
          </a:r>
          <a:r>
            <a:rPr lang="ko-KR" altLang="en-US" b="0">
              <a:latin typeface="고딕"/>
            </a:rPr>
            <a:t> </a:t>
          </a:r>
          <a:r>
            <a:rPr lang="en-US" altLang="ko-KR" b="0">
              <a:latin typeface="고딕"/>
            </a:rPr>
            <a:t>(</a:t>
          </a:r>
          <a:r>
            <a:rPr lang="ko-KR" altLang="en-US" b="0">
              <a:latin typeface="고딕"/>
            </a:rPr>
            <a:t>근태기록 기준</a:t>
          </a:r>
          <a:r>
            <a:rPr lang="en-US" altLang="ko-KR" b="0">
              <a:latin typeface="고딕"/>
            </a:rPr>
            <a:t>)</a:t>
          </a:r>
        </a:p>
        <a:p>
          <a:pPr lvl="0"/>
          <a:r>
            <a:rPr lang="en-US" altLang="ko-KR">
              <a:latin typeface="고딕"/>
            </a:rPr>
            <a:t>(</a:t>
          </a:r>
          <a:r>
            <a:rPr lang="ko-KR" altLang="en-US">
              <a:latin typeface="고딕"/>
            </a:rPr>
            <a:t>사전 신청한</a:t>
          </a:r>
          <a:r>
            <a:rPr lang="ko-KR" altLang="en-US" baseline="0">
              <a:latin typeface="고딕"/>
            </a:rPr>
            <a:t> 건에 대해</a:t>
          </a:r>
          <a:r>
            <a:rPr lang="en-US" altLang="ko-KR">
              <a:latin typeface="고딕"/>
            </a:rPr>
            <a:t> </a:t>
          </a:r>
          <a:r>
            <a:rPr lang="ko-KR" altLang="en-US">
              <a:latin typeface="고딕"/>
            </a:rPr>
            <a:t>실제 근무시간이 변경되었더라도 별도 재승인 없이 수당 신청 시 최종 확정된 시간을 기준으로 신청 가능</a:t>
          </a:r>
          <a:r>
            <a:rPr lang="en-US" altLang="ko-KR">
              <a:latin typeface="고딕"/>
            </a:rPr>
            <a:t>)</a:t>
          </a:r>
        </a:p>
        <a:p>
          <a:pPr lvl="0"/>
          <a:endParaRPr lang="en-US" altLang="ko-KR" b="0">
            <a:latin typeface="고딕"/>
          </a:endParaRPr>
        </a:p>
        <a:p>
          <a:pPr lvl="0"/>
          <a:r>
            <a:rPr lang="en-US" altLang="ko-KR" b="1">
              <a:latin typeface="고딕"/>
            </a:rPr>
            <a:t>5. </a:t>
          </a:r>
          <a:r>
            <a:rPr lang="ko-KR" altLang="en-US" b="1">
              <a:latin typeface="고딕"/>
            </a:rPr>
            <a:t>근무시간</a:t>
          </a:r>
          <a:r>
            <a:rPr lang="en-US" altLang="ko-KR" b="1">
              <a:latin typeface="고딕"/>
            </a:rPr>
            <a:t>: </a:t>
          </a:r>
          <a:r>
            <a:rPr lang="ko-KR" altLang="en-US" b="1">
              <a:latin typeface="고딕"/>
            </a:rPr>
            <a:t>자동계산</a:t>
          </a:r>
          <a:endParaRPr lang="en-US" altLang="ko-KR" b="1">
            <a:latin typeface="고딕"/>
          </a:endParaRPr>
        </a:p>
        <a:p>
          <a:r>
            <a:rPr lang="en-US" altLang="ko-K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→ </a:t>
          </a:r>
          <a:r>
            <a:rPr lang="ko-KR" alt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근무시작과 종료시간</a:t>
          </a:r>
          <a:r>
            <a:rPr lang="ko-KR" altLang="ko-K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을 작성하면 신청 구분</a:t>
          </a:r>
          <a:r>
            <a:rPr lang="en-US" altLang="ko-K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</a:t>
          </a:r>
          <a:r>
            <a:rPr lang="ko-KR" altLang="ko-K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사전</a:t>
          </a:r>
          <a:r>
            <a:rPr lang="en-US" altLang="ko-K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/</a:t>
          </a:r>
          <a:r>
            <a:rPr lang="ko-KR" altLang="ko-K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사후</a:t>
          </a:r>
          <a:r>
            <a:rPr lang="en-US" altLang="ko-K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)</a:t>
          </a:r>
          <a:r>
            <a:rPr lang="ko-KR" altLang="ko-K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이 자동 입력됨</a:t>
          </a:r>
          <a:endParaRPr lang="ko-KR" altLang="en-US" sz="1100" b="0">
            <a:solidFill>
              <a:schemeClr val="dk1"/>
            </a:solidFill>
            <a:latin typeface="함초롬돋움" panose="020B0604000101010101" pitchFamily="50" charset="-127"/>
            <a:ea typeface="함초롬돋움" panose="020B0604000101010101" pitchFamily="50" charset="-127"/>
            <a:cs typeface="함초롬돋움" panose="020B0604000101010101" pitchFamily="50" charset="-127"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2</xdr:row>
      <xdr:rowOff>295274</xdr:rowOff>
    </xdr:from>
    <xdr:to>
      <xdr:col>11</xdr:col>
      <xdr:colOff>0</xdr:colOff>
      <xdr:row>3</xdr:row>
      <xdr:rowOff>104775</xdr:rowOff>
    </xdr:to>
    <xdr:grpSp>
      <xdr:nvGrpSpPr>
        <xdr:cNvPr id="2" name="그룹 1">
          <a:extLst>
            <a:ext uri="{FF2B5EF4-FFF2-40B4-BE49-F238E27FC236}">
              <a16:creationId xmlns:a16="http://schemas.microsoft.com/office/drawing/2014/main" id="{C03DD252-D77D-488F-998F-3A0CB177443B}"/>
            </a:ext>
          </a:extLst>
        </xdr:cNvPr>
        <xdr:cNvGrpSpPr/>
      </xdr:nvGrpSpPr>
      <xdr:grpSpPr>
        <a:xfrm>
          <a:off x="504265" y="777127"/>
          <a:ext cx="8796617" cy="100854"/>
          <a:chOff x="314325" y="495300"/>
          <a:chExt cx="3600450" cy="47625"/>
        </a:xfrm>
      </xdr:grpSpPr>
      <xdr:sp macro="" textlink="">
        <xdr:nvSpPr>
          <xdr:cNvPr id="3" name="Line 1">
            <a:extLst>
              <a:ext uri="{FF2B5EF4-FFF2-40B4-BE49-F238E27FC236}">
                <a16:creationId xmlns:a16="http://schemas.microsoft.com/office/drawing/2014/main" id="{CFFDBB9E-EAF4-124D-99ED-BBCF0EFBBBE8}"/>
              </a:ext>
            </a:extLst>
          </xdr:cNvPr>
          <xdr:cNvSpPr>
            <a:spLocks noChangeShapeType="1"/>
          </xdr:cNvSpPr>
        </xdr:nvSpPr>
        <xdr:spPr bwMode="auto">
          <a:xfrm>
            <a:off x="390525" y="495300"/>
            <a:ext cx="3419475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" name="Line 2">
            <a:extLst>
              <a:ext uri="{FF2B5EF4-FFF2-40B4-BE49-F238E27FC236}">
                <a16:creationId xmlns:a16="http://schemas.microsoft.com/office/drawing/2014/main" id="{9A5F6C54-145D-0DD2-3D9F-4030A4A97288}"/>
              </a:ext>
            </a:extLst>
          </xdr:cNvPr>
          <xdr:cNvSpPr>
            <a:spLocks noChangeShapeType="1"/>
          </xdr:cNvSpPr>
        </xdr:nvSpPr>
        <xdr:spPr bwMode="auto">
          <a:xfrm>
            <a:off x="314325" y="542925"/>
            <a:ext cx="3600450" cy="0"/>
          </a:xfrm>
          <a:prstGeom prst="line">
            <a:avLst/>
          </a:prstGeom>
          <a:noFill/>
          <a:ln w="19050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21</xdr:col>
      <xdr:colOff>262218</xdr:colOff>
      <xdr:row>1</xdr:row>
      <xdr:rowOff>50425</xdr:rowOff>
    </xdr:from>
    <xdr:to>
      <xdr:col>25</xdr:col>
      <xdr:colOff>437029</xdr:colOff>
      <xdr:row>7</xdr:row>
      <xdr:rowOff>22411</xdr:rowOff>
    </xdr:to>
    <xdr:sp macro="" textlink="">
      <xdr:nvSpPr>
        <xdr:cNvPr id="5" name="직사각형 4">
          <a:extLst>
            <a:ext uri="{FF2B5EF4-FFF2-40B4-BE49-F238E27FC236}">
              <a16:creationId xmlns:a16="http://schemas.microsoft.com/office/drawing/2014/main" id="{C5FAFE93-0FDA-46C7-8E47-353A12BE953A}"/>
            </a:ext>
          </a:extLst>
        </xdr:cNvPr>
        <xdr:cNvSpPr/>
      </xdr:nvSpPr>
      <xdr:spPr>
        <a:xfrm>
          <a:off x="18131118" y="240925"/>
          <a:ext cx="2965636" cy="1572186"/>
        </a:xfrm>
        <a:prstGeom prst="rect">
          <a:avLst/>
        </a:prstGeom>
        <a:solidFill>
          <a:srgbClr val="FFFFCC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ko-KR" altLang="en-US" sz="1400" b="1">
              <a:solidFill>
                <a:srgbClr val="FF0000"/>
              </a:solidFill>
              <a:latin typeface="+mn-ea"/>
              <a:ea typeface="+mn-ea"/>
            </a:rPr>
            <a:t>④ 신청서 제출 </a:t>
          </a:r>
          <a:r>
            <a:rPr lang="en-US" altLang="ko-KR" sz="1400" b="1">
              <a:solidFill>
                <a:srgbClr val="FF0000"/>
              </a:solidFill>
              <a:latin typeface="+mn-ea"/>
              <a:ea typeface="+mn-ea"/>
            </a:rPr>
            <a:t>(</a:t>
          </a:r>
          <a:r>
            <a:rPr lang="ko-KR" altLang="en-US" sz="1400" b="1">
              <a:solidFill>
                <a:srgbClr val="FF0000"/>
              </a:solidFill>
              <a:latin typeface="+mn-ea"/>
              <a:ea typeface="+mn-ea"/>
            </a:rPr>
            <a:t>승인요청</a:t>
          </a:r>
          <a:r>
            <a:rPr lang="en-US" altLang="ko-KR" sz="1400" b="1">
              <a:solidFill>
                <a:srgbClr val="FF0000"/>
              </a:solidFill>
              <a:latin typeface="+mn-ea"/>
              <a:ea typeface="+mn-ea"/>
            </a:rPr>
            <a:t>)</a:t>
          </a:r>
        </a:p>
        <a:p>
          <a:pPr algn="l"/>
          <a:endParaRPr lang="en-US" altLang="ko-KR" sz="1000" b="1">
            <a:solidFill>
              <a:srgbClr val="FF0000"/>
            </a:solidFill>
            <a:latin typeface="+mn-ea"/>
            <a:ea typeface="+mn-ea"/>
          </a:endParaRPr>
        </a:p>
        <a:p>
          <a:pPr algn="l"/>
          <a:r>
            <a:rPr lang="ko-KR" altLang="en-US" sz="1000" b="1">
              <a:solidFill>
                <a:sysClr val="windowText" lastClr="000000"/>
              </a:solidFill>
              <a:latin typeface="+mn-ea"/>
              <a:ea typeface="+mn-ea"/>
              <a:cs typeface="Tahoma" panose="020B0604030504040204" pitchFamily="34" charset="0"/>
            </a:rPr>
            <a:t>팀장님에게 메일로 승인요청 </a:t>
          </a:r>
          <a:r>
            <a:rPr lang="en-US" altLang="ko-KR" sz="1000" b="1">
              <a:solidFill>
                <a:sysClr val="windowText" lastClr="000000"/>
              </a:solidFill>
              <a:latin typeface="+mn-ea"/>
              <a:ea typeface="+mn-ea"/>
              <a:cs typeface="Tahoma" panose="020B0604030504040204" pitchFamily="34" charset="0"/>
            </a:rPr>
            <a:t>(</a:t>
          </a:r>
          <a:r>
            <a:rPr lang="ko-KR" altLang="en-US" sz="1000" b="1">
              <a:solidFill>
                <a:sysClr val="windowText" lastClr="000000"/>
              </a:solidFill>
              <a:latin typeface="+mn-ea"/>
              <a:ea typeface="+mn-ea"/>
              <a:cs typeface="Tahoma" panose="020B0604030504040204" pitchFamily="34" charset="0"/>
            </a:rPr>
            <a:t>첨부 </a:t>
          </a:r>
          <a:r>
            <a:rPr lang="en-US" altLang="ko-KR" sz="1000" b="1">
              <a:solidFill>
                <a:sysClr val="windowText" lastClr="000000"/>
              </a:solidFill>
              <a:latin typeface="+mn-ea"/>
              <a:ea typeface="+mn-ea"/>
              <a:cs typeface="Tahoma" panose="020B0604030504040204" pitchFamily="34" charset="0"/>
            </a:rPr>
            <a:t>: </a:t>
          </a:r>
          <a:r>
            <a:rPr lang="ko-KR" altLang="en-US" sz="1000" b="1">
              <a:solidFill>
                <a:sysClr val="windowText" lastClr="000000"/>
              </a:solidFill>
              <a:latin typeface="+mn-ea"/>
              <a:ea typeface="+mn-ea"/>
              <a:cs typeface="Tahoma" panose="020B0604030504040204" pitchFamily="34" charset="0"/>
            </a:rPr>
            <a:t>신청서</a:t>
          </a:r>
          <a:r>
            <a:rPr lang="en-US" altLang="ko-KR" sz="1000" b="1">
              <a:solidFill>
                <a:sysClr val="windowText" lastClr="000000"/>
              </a:solidFill>
              <a:latin typeface="+mn-ea"/>
              <a:ea typeface="+mn-ea"/>
              <a:cs typeface="Tahoma" panose="020B0604030504040204" pitchFamily="34" charset="0"/>
            </a:rPr>
            <a:t>)</a:t>
          </a:r>
        </a:p>
        <a:p>
          <a:pPr algn="l"/>
          <a:r>
            <a:rPr lang="en-US" altLang="ko-KR" sz="1000" b="1">
              <a:solidFill>
                <a:sysClr val="windowText" lastClr="000000"/>
              </a:solidFill>
              <a:latin typeface="+mn-ea"/>
              <a:ea typeface="+mn-ea"/>
              <a:cs typeface="Tahoma" panose="020B0604030504040204" pitchFamily="34" charset="0"/>
            </a:rPr>
            <a:t>* </a:t>
          </a:r>
          <a:r>
            <a:rPr lang="ko-KR" altLang="en-US" sz="1000" b="1">
              <a:solidFill>
                <a:sysClr val="windowText" lastClr="000000"/>
              </a:solidFill>
              <a:latin typeface="+mn-ea"/>
              <a:ea typeface="+mn-ea"/>
              <a:cs typeface="Tahoma" panose="020B0604030504040204" pitchFamily="34" charset="0"/>
            </a:rPr>
            <a:t>일자별로 개별 신청</a:t>
          </a:r>
          <a:r>
            <a:rPr lang="ko-KR" altLang="en-US" sz="1000" b="1" baseline="0">
              <a:solidFill>
                <a:sysClr val="windowText" lastClr="000000"/>
              </a:solidFill>
              <a:latin typeface="+mn-ea"/>
              <a:ea typeface="+mn-ea"/>
              <a:cs typeface="Tahoma" panose="020B0604030504040204" pitchFamily="34" charset="0"/>
            </a:rPr>
            <a:t> 필수</a:t>
          </a:r>
          <a:r>
            <a:rPr lang="en-US" altLang="ko-KR" sz="1000" b="1" baseline="0">
              <a:solidFill>
                <a:sysClr val="windowText" lastClr="000000"/>
              </a:solidFill>
              <a:latin typeface="+mn-ea"/>
              <a:ea typeface="+mn-ea"/>
              <a:cs typeface="Tahoma" panose="020B0604030504040204" pitchFamily="34" charset="0"/>
            </a:rPr>
            <a:t> </a:t>
          </a:r>
        </a:p>
        <a:p>
          <a:pPr algn="l"/>
          <a:r>
            <a:rPr lang="en-US" altLang="ko-KR" sz="1000" b="1" baseline="0">
              <a:solidFill>
                <a:sysClr val="windowText" lastClr="000000"/>
              </a:solidFill>
              <a:latin typeface="+mn-ea"/>
              <a:ea typeface="+mn-ea"/>
              <a:cs typeface="Tahoma" panose="020B0604030504040204" pitchFamily="34" charset="0"/>
            </a:rPr>
            <a:t>(</a:t>
          </a:r>
          <a:r>
            <a:rPr lang="ko-KR" altLang="en-US" sz="1000" b="1" baseline="0">
              <a:solidFill>
                <a:sysClr val="windowText" lastClr="000000"/>
              </a:solidFill>
              <a:latin typeface="+mn-ea"/>
              <a:ea typeface="+mn-ea"/>
              <a:cs typeface="Tahoma" panose="020B0604030504040204" pitchFamily="34" charset="0"/>
            </a:rPr>
            <a:t>사후 신청은 연장근무 종료 후 </a:t>
          </a:r>
          <a:r>
            <a:rPr lang="en-US" altLang="ko-KR" sz="1000" b="1" baseline="0">
              <a:solidFill>
                <a:sysClr val="windowText" lastClr="000000"/>
              </a:solidFill>
              <a:latin typeface="+mn-ea"/>
              <a:ea typeface="+mn-ea"/>
              <a:cs typeface="Tahoma" panose="020B0604030504040204" pitchFamily="34" charset="0"/>
            </a:rPr>
            <a:t>3</a:t>
          </a:r>
          <a:r>
            <a:rPr lang="ko-KR" altLang="en-US" sz="1000" b="1" baseline="0">
              <a:solidFill>
                <a:sysClr val="windowText" lastClr="000000"/>
              </a:solidFill>
              <a:latin typeface="+mn-ea"/>
              <a:ea typeface="+mn-ea"/>
              <a:cs typeface="Tahoma" panose="020B0604030504040204" pitchFamily="34" charset="0"/>
            </a:rPr>
            <a:t>일 이내</a:t>
          </a:r>
          <a:r>
            <a:rPr lang="en-US" altLang="ko-KR" sz="1000" b="1" baseline="0">
              <a:solidFill>
                <a:sysClr val="windowText" lastClr="000000"/>
              </a:solidFill>
              <a:latin typeface="+mn-ea"/>
              <a:ea typeface="+mn-ea"/>
              <a:cs typeface="Tahoma" panose="020B0604030504040204" pitchFamily="34" charset="0"/>
            </a:rPr>
            <a:t> )</a:t>
          </a:r>
        </a:p>
        <a:p>
          <a:pPr algn="l"/>
          <a:r>
            <a:rPr lang="en-US" altLang="ko-KR" sz="1000" b="1" baseline="0">
              <a:solidFill>
                <a:sysClr val="windowText" lastClr="000000"/>
              </a:solidFill>
              <a:latin typeface="+mn-ea"/>
              <a:ea typeface="+mn-ea"/>
              <a:cs typeface="Tahoma" panose="020B0604030504040204" pitchFamily="34" charset="0"/>
            </a:rPr>
            <a:t>* </a:t>
          </a:r>
          <a:r>
            <a:rPr lang="ko-KR" altLang="en-US" sz="1000" b="1">
              <a:solidFill>
                <a:sysClr val="windowText" lastClr="000000"/>
              </a:solidFill>
              <a:latin typeface="+mn-ea"/>
              <a:ea typeface="+mn-ea"/>
              <a:cs typeface="Tahoma" panose="020B0604030504040204" pitchFamily="34" charset="0"/>
            </a:rPr>
            <a:t>승인이 완료된 건에 한하여 지급됩니다</a:t>
          </a:r>
          <a:r>
            <a:rPr lang="en-US" altLang="ko-KR" sz="1000" b="1">
              <a:solidFill>
                <a:sysClr val="windowText" lastClr="000000"/>
              </a:solidFill>
              <a:latin typeface="+mn-ea"/>
              <a:ea typeface="+mn-ea"/>
              <a:cs typeface="Tahoma" panose="020B0604030504040204" pitchFamily="34" charset="0"/>
            </a:rPr>
            <a:t>. </a:t>
          </a:r>
        </a:p>
      </xdr:txBody>
    </xdr:sp>
    <xdr:clientData/>
  </xdr:twoCellAnchor>
  <xdr:twoCellAnchor>
    <xdr:from>
      <xdr:col>0</xdr:col>
      <xdr:colOff>0</xdr:colOff>
      <xdr:row>0</xdr:row>
      <xdr:rowOff>100853</xdr:rowOff>
    </xdr:from>
    <xdr:to>
      <xdr:col>11</xdr:col>
      <xdr:colOff>83484</xdr:colOff>
      <xdr:row>3</xdr:row>
      <xdr:rowOff>72277</xdr:rowOff>
    </xdr:to>
    <xdr:sp macro="" textlink="">
      <xdr:nvSpPr>
        <xdr:cNvPr id="6" name="직사각형 5">
          <a:extLst>
            <a:ext uri="{FF2B5EF4-FFF2-40B4-BE49-F238E27FC236}">
              <a16:creationId xmlns:a16="http://schemas.microsoft.com/office/drawing/2014/main" id="{9D22BF6C-5539-48CE-88F6-775951B5FAA7}"/>
            </a:ext>
          </a:extLst>
        </xdr:cNvPr>
        <xdr:cNvSpPr/>
      </xdr:nvSpPr>
      <xdr:spPr>
        <a:xfrm>
          <a:off x="0" y="100853"/>
          <a:ext cx="9384366" cy="744630"/>
        </a:xfrm>
        <a:prstGeom prst="rect">
          <a:avLst/>
        </a:prstGeom>
        <a:noFill/>
        <a:ln w="57150">
          <a:solidFill>
            <a:srgbClr val="00B05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oneCellAnchor>
    <xdr:from>
      <xdr:col>8</xdr:col>
      <xdr:colOff>235323</xdr:colOff>
      <xdr:row>0</xdr:row>
      <xdr:rowOff>33618</xdr:rowOff>
    </xdr:from>
    <xdr:ext cx="714375" cy="680502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6A78EA91-2397-4657-955C-D6515CE5DF5C}"/>
            </a:ext>
          </a:extLst>
        </xdr:cNvPr>
        <xdr:cNvSpPr txBox="1"/>
      </xdr:nvSpPr>
      <xdr:spPr>
        <a:xfrm>
          <a:off x="7485529" y="33618"/>
          <a:ext cx="714375" cy="68050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ko-KR" altLang="en-US" sz="4400" b="1">
              <a:solidFill>
                <a:srgbClr val="00B050"/>
              </a:solidFill>
            </a:rPr>
            <a:t>①</a:t>
          </a:r>
        </a:p>
      </xdr:txBody>
    </xdr:sp>
    <xdr:clientData/>
  </xdr:oneCellAnchor>
  <xdr:twoCellAnchor>
    <xdr:from>
      <xdr:col>1</xdr:col>
      <xdr:colOff>369793</xdr:colOff>
      <xdr:row>5</xdr:row>
      <xdr:rowOff>0</xdr:rowOff>
    </xdr:from>
    <xdr:to>
      <xdr:col>4</xdr:col>
      <xdr:colOff>22412</xdr:colOff>
      <xdr:row>7</xdr:row>
      <xdr:rowOff>281828</xdr:rowOff>
    </xdr:to>
    <xdr:sp macro="" textlink="">
      <xdr:nvSpPr>
        <xdr:cNvPr id="8" name="직사각형 7">
          <a:extLst>
            <a:ext uri="{FF2B5EF4-FFF2-40B4-BE49-F238E27FC236}">
              <a16:creationId xmlns:a16="http://schemas.microsoft.com/office/drawing/2014/main" id="{A4F6B1BD-DBCB-485F-8F11-3B97246A75CD}"/>
            </a:ext>
          </a:extLst>
        </xdr:cNvPr>
        <xdr:cNvSpPr/>
      </xdr:nvSpPr>
      <xdr:spPr>
        <a:xfrm>
          <a:off x="470646" y="1199029"/>
          <a:ext cx="3059207" cy="864534"/>
        </a:xfrm>
        <a:prstGeom prst="rect">
          <a:avLst/>
        </a:prstGeom>
        <a:noFill/>
        <a:ln w="57150">
          <a:solidFill>
            <a:srgbClr val="00B05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oneCellAnchor>
    <xdr:from>
      <xdr:col>3</xdr:col>
      <xdr:colOff>616323</xdr:colOff>
      <xdr:row>4</xdr:row>
      <xdr:rowOff>56030</xdr:rowOff>
    </xdr:from>
    <xdr:ext cx="819150" cy="1068049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DBB5FAD7-69D7-4908-8AD8-2F2EAAC68E95}"/>
            </a:ext>
          </a:extLst>
        </xdr:cNvPr>
        <xdr:cNvSpPr txBox="1"/>
      </xdr:nvSpPr>
      <xdr:spPr>
        <a:xfrm>
          <a:off x="2173941" y="1042148"/>
          <a:ext cx="819150" cy="106804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ko-KR" altLang="en-US" sz="4400" b="1">
              <a:solidFill>
                <a:srgbClr val="00B050"/>
              </a:solidFill>
            </a:rPr>
            <a:t>②</a:t>
          </a:r>
        </a:p>
      </xdr:txBody>
    </xdr:sp>
    <xdr:clientData/>
  </xdr:oneCellAnchor>
  <xdr:twoCellAnchor>
    <xdr:from>
      <xdr:col>11</xdr:col>
      <xdr:colOff>22412</xdr:colOff>
      <xdr:row>13</xdr:row>
      <xdr:rowOff>11206</xdr:rowOff>
    </xdr:from>
    <xdr:to>
      <xdr:col>17</xdr:col>
      <xdr:colOff>1053353</xdr:colOff>
      <xdr:row>46</xdr:row>
      <xdr:rowOff>313763</xdr:rowOff>
    </xdr:to>
    <xdr:sp macro="" textlink="">
      <xdr:nvSpPr>
        <xdr:cNvPr id="10" name="직사각형 9">
          <a:extLst>
            <a:ext uri="{FF2B5EF4-FFF2-40B4-BE49-F238E27FC236}">
              <a16:creationId xmlns:a16="http://schemas.microsoft.com/office/drawing/2014/main" id="{30DFACBB-2CB4-421A-B960-84BE5FB2E8B3}"/>
            </a:ext>
          </a:extLst>
        </xdr:cNvPr>
        <xdr:cNvSpPr/>
      </xdr:nvSpPr>
      <xdr:spPr>
        <a:xfrm>
          <a:off x="9323294" y="3372971"/>
          <a:ext cx="6163235" cy="11934263"/>
        </a:xfrm>
        <a:prstGeom prst="rect">
          <a:avLst/>
        </a:prstGeom>
        <a:noFill/>
        <a:ln w="57150">
          <a:solidFill>
            <a:srgbClr val="00B05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oneCellAnchor>
    <xdr:from>
      <xdr:col>14</xdr:col>
      <xdr:colOff>179294</xdr:colOff>
      <xdr:row>20</xdr:row>
      <xdr:rowOff>89647</xdr:rowOff>
    </xdr:from>
    <xdr:ext cx="819150" cy="1068049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91E83472-51B2-41BD-AA6F-69B791065908}"/>
            </a:ext>
          </a:extLst>
        </xdr:cNvPr>
        <xdr:cNvSpPr txBox="1"/>
      </xdr:nvSpPr>
      <xdr:spPr>
        <a:xfrm>
          <a:off x="12192000" y="6051176"/>
          <a:ext cx="819150" cy="106804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ko-KR" altLang="en-US" sz="4400" b="1">
              <a:solidFill>
                <a:srgbClr val="00B050"/>
              </a:solidFill>
            </a:rPr>
            <a:t>③</a:t>
          </a:r>
        </a:p>
      </xdr:txBody>
    </xdr:sp>
    <xdr:clientData/>
  </xdr:oneCellAnchor>
  <xdr:twoCellAnchor>
    <xdr:from>
      <xdr:col>11</xdr:col>
      <xdr:colOff>582707</xdr:colOff>
      <xdr:row>23</xdr:row>
      <xdr:rowOff>11205</xdr:rowOff>
    </xdr:from>
    <xdr:to>
      <xdr:col>17</xdr:col>
      <xdr:colOff>605119</xdr:colOff>
      <xdr:row>38</xdr:row>
      <xdr:rowOff>0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0F68ED16-07A9-4AF1-966A-FC75ACA454D8}"/>
            </a:ext>
          </a:extLst>
        </xdr:cNvPr>
        <xdr:cNvSpPr txBox="1"/>
      </xdr:nvSpPr>
      <xdr:spPr>
        <a:xfrm>
          <a:off x="9883589" y="7014881"/>
          <a:ext cx="5154706" cy="5199531"/>
        </a:xfrm>
        <a:prstGeom prst="rect">
          <a:avLst/>
        </a:prstGeom>
        <a:solidFill>
          <a:schemeClr val="bg2"/>
        </a:solidFill>
        <a:ln w="28575" cmpd="sng">
          <a:solidFill>
            <a:srgbClr val="00B05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ko-KR" altLang="en-US" sz="1100" b="1">
              <a:solidFill>
                <a:schemeClr val="dk1"/>
              </a:solidFill>
              <a:latin typeface="고딕"/>
              <a:ea typeface="+mn-ea"/>
              <a:cs typeface="+mn-cs"/>
            </a:rPr>
            <a:t>초과근무 수당 신청 </a:t>
          </a:r>
          <a:r>
            <a:rPr lang="en-US" altLang="ko-KR" sz="1100" b="1">
              <a:solidFill>
                <a:schemeClr val="dk1"/>
              </a:solidFill>
              <a:latin typeface="고딕"/>
              <a:ea typeface="+mn-ea"/>
              <a:cs typeface="+mn-cs"/>
            </a:rPr>
            <a:t>: </a:t>
          </a:r>
          <a:r>
            <a:rPr lang="ko-KR" altLang="en-US" sz="1100" b="1">
              <a:solidFill>
                <a:schemeClr val="dk1"/>
              </a:solidFill>
              <a:latin typeface="고딕"/>
              <a:ea typeface="+mn-ea"/>
              <a:cs typeface="+mn-cs"/>
            </a:rPr>
            <a:t>초과근무 수당 신청서 작성</a:t>
          </a:r>
          <a:endParaRPr lang="en-US" altLang="ko-KR" sz="1100" b="1">
            <a:solidFill>
              <a:schemeClr val="dk1"/>
            </a:solidFill>
            <a:latin typeface="고딕"/>
            <a:ea typeface="+mn-ea"/>
            <a:cs typeface="+mn-cs"/>
          </a:endParaRPr>
        </a:p>
        <a:p>
          <a:r>
            <a:rPr lang="en-US" altLang="ko-KR" sz="1100">
              <a:latin typeface="고딕"/>
            </a:rPr>
            <a:t>※ </a:t>
          </a:r>
          <a:r>
            <a:rPr lang="ko-KR" altLang="en-US" sz="1100">
              <a:latin typeface="고딕"/>
            </a:rPr>
            <a:t>해당</a:t>
          </a:r>
          <a:r>
            <a:rPr lang="ko-KR" altLang="en-US" sz="1100" baseline="0">
              <a:latin typeface="고딕"/>
            </a:rPr>
            <a:t> 란은 초과근로 수당 신청시에만 작성 </a:t>
          </a:r>
          <a:endParaRPr lang="en-US" altLang="ko-KR" sz="1100">
            <a:latin typeface="고딕"/>
          </a:endParaRPr>
        </a:p>
        <a:p>
          <a:r>
            <a:rPr lang="en-US" altLang="ko-K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※ </a:t>
          </a:r>
          <a:r>
            <a:rPr lang="ko-KR" altLang="en-US" sz="1100">
              <a:latin typeface="고딕"/>
            </a:rPr>
            <a:t>신청서는 초과근로 수당신청 기간</a:t>
          </a:r>
          <a:r>
            <a:rPr lang="en-US" altLang="ko-KR" sz="1100">
              <a:latin typeface="고딕"/>
            </a:rPr>
            <a:t>(</a:t>
          </a:r>
          <a:r>
            <a:rPr lang="ko-KR" altLang="en-US" sz="1100">
              <a:latin typeface="고딕"/>
            </a:rPr>
            <a:t>매월 초</a:t>
          </a:r>
          <a:r>
            <a:rPr lang="en-US" altLang="ko-KR" sz="1100">
              <a:latin typeface="고딕"/>
            </a:rPr>
            <a:t>)</a:t>
          </a:r>
          <a:r>
            <a:rPr lang="ko-KR" altLang="en-US" sz="1100">
              <a:latin typeface="고딕"/>
            </a:rPr>
            <a:t>에 신청 </a:t>
          </a:r>
          <a:endParaRPr lang="en-US" altLang="ko-KR" sz="1100">
            <a:latin typeface="고딕"/>
          </a:endParaRPr>
        </a:p>
        <a:p>
          <a:r>
            <a:rPr lang="en-US" altLang="ko-KR" sz="1100">
              <a:solidFill>
                <a:schemeClr val="dk1"/>
              </a:solidFill>
              <a:effectLst/>
              <a:latin typeface="고딕"/>
              <a:ea typeface="+mn-ea"/>
              <a:cs typeface="+mn-cs"/>
            </a:rPr>
            <a:t>※  </a:t>
          </a:r>
          <a:r>
            <a:rPr lang="ko-KR" altLang="en-US" sz="1100">
              <a:solidFill>
                <a:schemeClr val="dk1"/>
              </a:solidFill>
              <a:effectLst/>
              <a:latin typeface="고딕"/>
              <a:ea typeface="+mn-ea"/>
              <a:cs typeface="+mn-cs"/>
            </a:rPr>
            <a:t>사전</a:t>
          </a:r>
          <a:r>
            <a:rPr lang="en-US" altLang="ko-KR" sz="1100">
              <a:solidFill>
                <a:schemeClr val="dk1"/>
              </a:solidFill>
              <a:effectLst/>
              <a:latin typeface="고딕"/>
              <a:ea typeface="+mn-ea"/>
              <a:cs typeface="+mn-cs"/>
            </a:rPr>
            <a:t>/</a:t>
          </a:r>
          <a:r>
            <a:rPr lang="ko-KR" altLang="en-US" sz="1100">
              <a:solidFill>
                <a:schemeClr val="dk1"/>
              </a:solidFill>
              <a:effectLst/>
              <a:latin typeface="고딕"/>
              <a:ea typeface="+mn-ea"/>
              <a:cs typeface="+mn-cs"/>
            </a:rPr>
            <a:t>사후에 승인받지</a:t>
          </a:r>
          <a:r>
            <a:rPr lang="ko-KR" altLang="en-US" sz="1100" baseline="0">
              <a:solidFill>
                <a:schemeClr val="dk1"/>
              </a:solidFill>
              <a:effectLst/>
              <a:latin typeface="고딕"/>
              <a:ea typeface="+mn-ea"/>
              <a:cs typeface="+mn-cs"/>
            </a:rPr>
            <a:t> 않은 연장근무의 경우에는 반려될 수 있음 </a:t>
          </a:r>
          <a:endParaRPr lang="en-US" altLang="ko-KR" sz="1100" baseline="0">
            <a:solidFill>
              <a:schemeClr val="dk1"/>
            </a:solidFill>
            <a:effectLst/>
            <a:latin typeface="고딕"/>
            <a:ea typeface="+mn-ea"/>
            <a:cs typeface="+mn-cs"/>
          </a:endParaRPr>
        </a:p>
        <a:p>
          <a:endParaRPr lang="en-US" altLang="ko-KR" sz="1100" baseline="0">
            <a:solidFill>
              <a:schemeClr val="dk1"/>
            </a:solidFill>
            <a:effectLst/>
            <a:latin typeface="고딕"/>
            <a:ea typeface="+mn-ea"/>
            <a:cs typeface="+mn-cs"/>
          </a:endParaRPr>
        </a:p>
        <a:p>
          <a:r>
            <a:rPr lang="en-US" altLang="ko-KR" sz="1100" b="1">
              <a:latin typeface="고딕"/>
            </a:rPr>
            <a:t>1. </a:t>
          </a:r>
          <a:r>
            <a:rPr lang="ko-KR" altLang="en-US" sz="1100" b="1">
              <a:latin typeface="고딕"/>
            </a:rPr>
            <a:t>실 근무시작과 종료시간 기재</a:t>
          </a:r>
          <a:br>
            <a:rPr lang="ko-KR" altLang="en-US" sz="1100">
              <a:latin typeface="고딕"/>
            </a:rPr>
          </a:br>
          <a:r>
            <a:rPr lang="ko-KR" altLang="en-US" sz="1100">
              <a:latin typeface="고딕"/>
            </a:rPr>
            <a:t>→ 실제 근무 시작 시각과 종료 시각을 입력 </a:t>
          </a:r>
          <a:r>
            <a:rPr lang="en-US" altLang="ko-KR" sz="1100">
              <a:latin typeface="고딕"/>
            </a:rPr>
            <a:t>(</a:t>
          </a:r>
          <a:r>
            <a:rPr lang="ko-KR" altLang="en-US" sz="1100">
              <a:latin typeface="고딕"/>
            </a:rPr>
            <a:t>근태기기 기준</a:t>
          </a:r>
          <a:r>
            <a:rPr lang="en-US" altLang="ko-KR" sz="1100">
              <a:latin typeface="고딕"/>
            </a:rPr>
            <a:t>)</a:t>
          </a:r>
          <a:br>
            <a:rPr lang="en-US" altLang="ko-KR" sz="1100">
              <a:latin typeface="고딕"/>
            </a:rPr>
          </a:br>
          <a:r>
            <a:rPr lang="en-US" altLang="ko-KR" sz="1100">
              <a:latin typeface="고딕"/>
            </a:rPr>
            <a:t>→ </a:t>
          </a:r>
          <a:r>
            <a:rPr lang="ko-KR" altLang="en-US" sz="1100">
              <a:latin typeface="고딕"/>
            </a:rPr>
            <a:t>신청 시간은 자동으로 계산됨</a:t>
          </a:r>
          <a:endParaRPr lang="en-US" altLang="ko-KR" sz="1100">
            <a:latin typeface="고딕"/>
          </a:endParaRPr>
        </a:p>
        <a:p>
          <a:endParaRPr lang="ko-KR" altLang="en-US" sz="1100">
            <a:latin typeface="고딕"/>
          </a:endParaRPr>
        </a:p>
        <a:p>
          <a:r>
            <a:rPr lang="en-US" altLang="ko-KR" sz="1100" b="1">
              <a:latin typeface="고딕"/>
            </a:rPr>
            <a:t>2. </a:t>
          </a:r>
          <a:r>
            <a:rPr lang="ko-KR" altLang="en-US" sz="1100" b="1">
              <a:latin typeface="고딕"/>
            </a:rPr>
            <a:t>제외할 시간 기재</a:t>
          </a:r>
          <a:br>
            <a:rPr lang="ko-KR" altLang="en-US" sz="1100">
              <a:latin typeface="고딕"/>
            </a:rPr>
          </a:br>
          <a:r>
            <a:rPr lang="ko-KR" altLang="en-US" sz="1100">
              <a:latin typeface="고딕"/>
            </a:rPr>
            <a:t>→ 근무시작</a:t>
          </a:r>
          <a:r>
            <a:rPr lang="ko-KR" altLang="en-US" sz="1100" baseline="0">
              <a:latin typeface="고딕"/>
            </a:rPr>
            <a:t> </a:t>
          </a:r>
          <a:r>
            <a:rPr lang="en-US" altLang="ko-KR" sz="1100" baseline="0">
              <a:latin typeface="고딕"/>
            </a:rPr>
            <a:t>~ </a:t>
          </a:r>
          <a:r>
            <a:rPr lang="ko-KR" altLang="en-US" sz="1100" baseline="0">
              <a:latin typeface="고딕"/>
            </a:rPr>
            <a:t>근무종료 시간 중 근무하지 않은 시간과 제외사유 기재</a:t>
          </a:r>
          <a:endParaRPr lang="en-US" altLang="ko-KR" sz="1100" baseline="0">
            <a:latin typeface="고딕"/>
          </a:endParaRPr>
        </a:p>
        <a:p>
          <a:r>
            <a:rPr lang="en-US" altLang="ko-KR" sz="1100" baseline="0">
              <a:latin typeface="고딕"/>
            </a:rPr>
            <a:t>(</a:t>
          </a:r>
          <a:r>
            <a:rPr lang="ko-KR" altLang="en-US" sz="1100" baseline="0">
              <a:latin typeface="고딕"/>
            </a:rPr>
            <a:t>예 </a:t>
          </a:r>
          <a:r>
            <a:rPr lang="en-US" altLang="ko-KR" sz="1100" baseline="0">
              <a:latin typeface="고딕"/>
            </a:rPr>
            <a:t>: </a:t>
          </a:r>
          <a:r>
            <a:rPr lang="ko-KR" altLang="en-US" sz="1100" baseline="0">
              <a:latin typeface="고딕"/>
            </a:rPr>
            <a:t>식사시간</a:t>
          </a:r>
          <a:r>
            <a:rPr lang="en-US" altLang="ko-KR" sz="1100" baseline="0">
              <a:latin typeface="고딕"/>
            </a:rPr>
            <a:t>, </a:t>
          </a:r>
          <a:r>
            <a:rPr lang="ko-KR" altLang="en-US" sz="1100" baseline="0">
              <a:latin typeface="고딕"/>
            </a:rPr>
            <a:t>이동시간</a:t>
          </a:r>
          <a:r>
            <a:rPr lang="en-US" altLang="ko-KR" sz="1100" baseline="0">
              <a:latin typeface="고딕"/>
            </a:rPr>
            <a:t>, </a:t>
          </a:r>
          <a:r>
            <a:rPr lang="ko-KR" altLang="en-US" sz="1100" baseline="0">
              <a:latin typeface="고딕"/>
            </a:rPr>
            <a:t>업무외시간</a:t>
          </a:r>
          <a:r>
            <a:rPr lang="en-US" altLang="ko-KR" sz="1100" baseline="0">
              <a:latin typeface="고딕"/>
            </a:rPr>
            <a:t>}</a:t>
          </a:r>
          <a:r>
            <a:rPr lang="ko-KR" altLang="en-US" sz="1100" baseline="0">
              <a:latin typeface="고딕"/>
            </a:rPr>
            <a:t> </a:t>
          </a:r>
          <a:endParaRPr lang="en-US" altLang="ko-KR" sz="1100" baseline="0">
            <a:latin typeface="고딕"/>
          </a:endParaRPr>
        </a:p>
        <a:p>
          <a:r>
            <a:rPr lang="ko-KR" altLang="ko-KR" sz="1100">
              <a:solidFill>
                <a:schemeClr val="dk1"/>
              </a:solidFill>
              <a:effectLst/>
              <a:latin typeface="고딕"/>
              <a:ea typeface="+mn-ea"/>
              <a:cs typeface="+mn-cs"/>
            </a:rPr>
            <a:t>→ </a:t>
          </a:r>
          <a:r>
            <a:rPr lang="ko-KR" altLang="en-US" sz="1100">
              <a:latin typeface="고딕"/>
            </a:rPr>
            <a:t>제외할 시간을 입력하면 해당 시간이 자동 차감되어 신청 시간이 계산됨</a:t>
          </a:r>
          <a:endParaRPr lang="en-US" altLang="ko-KR" sz="1100">
            <a:latin typeface="고딕"/>
          </a:endParaRPr>
        </a:p>
        <a:p>
          <a:endParaRPr lang="en-US" altLang="ko-KR" sz="1100">
            <a:latin typeface="고딕"/>
          </a:endParaRPr>
        </a:p>
        <a:p>
          <a:r>
            <a:rPr lang="en-US" altLang="ko-KR" sz="1100" b="1">
              <a:latin typeface="고딕"/>
            </a:rPr>
            <a:t>3. </a:t>
          </a:r>
          <a:r>
            <a:rPr lang="ko-KR" altLang="en-US" sz="1100" b="1">
              <a:latin typeface="고딕"/>
            </a:rPr>
            <a:t>대체휴무 지급여부 기재 </a:t>
          </a:r>
          <a:endParaRPr lang="en-US" altLang="ko-KR" sz="1100" b="1">
            <a:latin typeface="고딕"/>
          </a:endParaRPr>
        </a:p>
        <a:p>
          <a:r>
            <a:rPr lang="ko-KR" altLang="ko-K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→ </a:t>
          </a:r>
          <a:r>
            <a:rPr lang="ko-KR" alt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초과근로한 시간만큼 다른 근무일에 늦게 출근하거나 일찍 퇴근하는 등 대체휴무를 제공받은 경우 </a:t>
          </a:r>
          <a:r>
            <a:rPr lang="en-US" altLang="ko-K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"O"</a:t>
          </a:r>
          <a:r>
            <a:rPr lang="ko-KR" alt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로 입력하고 대체휴무 시간 및 비고란 입력 </a:t>
          </a:r>
          <a:endParaRPr lang="en-US" altLang="ko-KR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en-US" altLang="ko-KR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altLang="ko-KR" sz="1100" b="1">
              <a:latin typeface="고딕"/>
            </a:rPr>
            <a:t>4.</a:t>
          </a:r>
          <a:r>
            <a:rPr lang="en-US" altLang="ko-KR" sz="1100" b="1" baseline="0">
              <a:latin typeface="고딕"/>
            </a:rPr>
            <a:t> </a:t>
          </a:r>
          <a:r>
            <a:rPr lang="ko-KR" altLang="en-US" sz="1100" b="1">
              <a:latin typeface="고딕"/>
            </a:rPr>
            <a:t>신청시간 </a:t>
          </a:r>
          <a:r>
            <a:rPr lang="en-US" altLang="ko-KR" sz="1100" b="1">
              <a:latin typeface="고딕"/>
            </a:rPr>
            <a:t>: </a:t>
          </a:r>
          <a:r>
            <a:rPr lang="ko-KR" altLang="en-US" sz="1100" b="1">
              <a:latin typeface="고딕"/>
            </a:rPr>
            <a:t>자동입력 </a:t>
          </a:r>
          <a:endParaRPr lang="en-US" altLang="ko-KR" sz="1100" b="1">
            <a:latin typeface="고딕"/>
          </a:endParaRPr>
        </a:p>
        <a:p>
          <a:r>
            <a:rPr lang="ko-KR" altLang="ko-KR" sz="1100">
              <a:solidFill>
                <a:schemeClr val="dk1"/>
              </a:solidFill>
              <a:effectLst/>
              <a:latin typeface="고딕"/>
              <a:ea typeface="+mn-ea"/>
              <a:cs typeface="+mn-cs"/>
            </a:rPr>
            <a:t>→</a:t>
          </a:r>
          <a:r>
            <a:rPr lang="en-US" altLang="ko-KR" sz="1100" baseline="0">
              <a:solidFill>
                <a:schemeClr val="dk1"/>
              </a:solidFill>
              <a:effectLst/>
              <a:latin typeface="고딕"/>
              <a:ea typeface="+mn-ea"/>
              <a:cs typeface="+mn-cs"/>
            </a:rPr>
            <a:t> </a:t>
          </a:r>
          <a:r>
            <a:rPr lang="ko-KR" altLang="en-US" sz="1100" baseline="0">
              <a:solidFill>
                <a:schemeClr val="dk1"/>
              </a:solidFill>
              <a:effectLst/>
              <a:latin typeface="고딕"/>
              <a:ea typeface="+mn-ea"/>
              <a:cs typeface="+mn-cs"/>
            </a:rPr>
            <a:t>실 근무 시간</a:t>
          </a:r>
          <a:r>
            <a:rPr lang="en-US" altLang="ko-KR" sz="1100" baseline="0">
              <a:solidFill>
                <a:schemeClr val="dk1"/>
              </a:solidFill>
              <a:effectLst/>
              <a:latin typeface="고딕"/>
              <a:ea typeface="+mn-ea"/>
              <a:cs typeface="+mn-cs"/>
            </a:rPr>
            <a:t>, </a:t>
          </a:r>
          <a:r>
            <a:rPr lang="ko-KR" altLang="en-US" sz="1100" baseline="0">
              <a:solidFill>
                <a:schemeClr val="dk1"/>
              </a:solidFill>
              <a:effectLst/>
              <a:latin typeface="고딕"/>
              <a:ea typeface="+mn-ea"/>
              <a:cs typeface="+mn-cs"/>
            </a:rPr>
            <a:t>제외 시간</a:t>
          </a:r>
          <a:r>
            <a:rPr lang="en-US" altLang="ko-KR" sz="1100" baseline="0">
              <a:solidFill>
                <a:schemeClr val="dk1"/>
              </a:solidFill>
              <a:effectLst/>
              <a:latin typeface="고딕"/>
              <a:ea typeface="+mn-ea"/>
              <a:cs typeface="+mn-cs"/>
            </a:rPr>
            <a:t>, </a:t>
          </a:r>
          <a:r>
            <a:rPr lang="ko-KR" altLang="en-US" sz="1100" baseline="0">
              <a:solidFill>
                <a:schemeClr val="dk1"/>
              </a:solidFill>
              <a:effectLst/>
              <a:latin typeface="고딕"/>
              <a:ea typeface="+mn-ea"/>
              <a:cs typeface="+mn-cs"/>
            </a:rPr>
            <a:t>대체휴무 지급여부까지</a:t>
          </a:r>
          <a:r>
            <a:rPr lang="ko-KR" altLang="en-US" sz="1100">
              <a:solidFill>
                <a:schemeClr val="dk1"/>
              </a:solidFill>
              <a:effectLst/>
              <a:latin typeface="고딕"/>
              <a:ea typeface="+mn-ea"/>
              <a:cs typeface="+mn-cs"/>
            </a:rPr>
            <a:t> </a:t>
          </a:r>
          <a:r>
            <a:rPr lang="ko-KR" altLang="en-US" sz="1100" baseline="0">
              <a:solidFill>
                <a:schemeClr val="dk1"/>
              </a:solidFill>
              <a:effectLst/>
              <a:latin typeface="고딕"/>
              <a:ea typeface="+mn-ea"/>
              <a:cs typeface="+mn-cs"/>
            </a:rPr>
            <a:t>작성하면 신청시간 자동입력 </a:t>
          </a:r>
          <a:endParaRPr lang="en-US" altLang="ko-KR" sz="1100">
            <a:latin typeface="고딕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* </a:t>
          </a:r>
          <a:r>
            <a:rPr lang="ko-KR" altLang="ko-K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대체휴무 지급여부 미</a:t>
          </a:r>
          <a:r>
            <a:rPr lang="ko-KR" alt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입력</a:t>
          </a:r>
          <a:r>
            <a:rPr lang="ko-KR" altLang="ko-K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시 시간이 계산되지 않음 </a:t>
          </a:r>
          <a:endParaRPr lang="ko-KR" altLang="ko-KR">
            <a:effectLst/>
          </a:endParaRPr>
        </a:p>
        <a:p>
          <a:endParaRPr lang="ko-KR" altLang="en-US" sz="1100">
            <a:latin typeface="고딕"/>
          </a:endParaRPr>
        </a:p>
        <a:p>
          <a:endParaRPr lang="ko-KR" altLang="en-US" sz="1100" b="1">
            <a:solidFill>
              <a:schemeClr val="dk1"/>
            </a:solidFill>
            <a:latin typeface="고딕"/>
            <a:ea typeface="+mn-ea"/>
            <a:cs typeface="+mn-cs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AFB0A7-7944-4450-B4AF-2B4EAD7EC82D}">
  <sheetPr>
    <pageSetUpPr autoPageBreaks="0"/>
  </sheetPr>
  <dimension ref="A1:V50"/>
  <sheetViews>
    <sheetView showGridLines="0" tabSelected="1" zoomScale="70" zoomScaleNormal="70" workbookViewId="0">
      <selection activeCell="D8" sqref="D8"/>
    </sheetView>
  </sheetViews>
  <sheetFormatPr defaultRowHeight="15.75" x14ac:dyDescent="0.3"/>
  <cols>
    <col min="1" max="1" width="1.25" style="10" customWidth="1"/>
    <col min="2" max="2" width="5.25" style="10" bestFit="1" customWidth="1"/>
    <col min="3" max="3" width="13.875" style="10" bestFit="1" customWidth="1"/>
    <col min="4" max="4" width="25.625" style="10" customWidth="1"/>
    <col min="5" max="6" width="14.5" style="10" customWidth="1"/>
    <col min="7" max="7" width="11.125" style="10" bestFit="1" customWidth="1"/>
    <col min="8" max="8" width="8.75" style="10" bestFit="1" customWidth="1"/>
    <col min="9" max="11" width="9" style="10" bestFit="1" customWidth="1"/>
    <col min="12" max="13" width="11.625" style="48" bestFit="1" customWidth="1"/>
    <col min="14" max="14" width="12.375" style="10" bestFit="1" customWidth="1"/>
    <col min="15" max="15" width="12.375" style="10" customWidth="1"/>
    <col min="16" max="16" width="10.375" style="10" customWidth="1"/>
    <col min="17" max="17" width="9" style="16" bestFit="1" customWidth="1"/>
    <col min="18" max="18" width="14.375" style="16" bestFit="1" customWidth="1"/>
    <col min="19" max="20" width="10.625" style="10" customWidth="1"/>
    <col min="21" max="22" width="9.625" style="10" customWidth="1"/>
    <col min="23" max="240" width="9" style="10"/>
    <col min="241" max="241" width="1.25" style="10" customWidth="1"/>
    <col min="242" max="242" width="7.25" style="10" customWidth="1"/>
    <col min="243" max="243" width="11.25" style="10" bestFit="1" customWidth="1"/>
    <col min="244" max="244" width="8.5" style="10" customWidth="1"/>
    <col min="245" max="245" width="17.375" style="10" customWidth="1"/>
    <col min="246" max="246" width="2.875" style="10" customWidth="1"/>
    <col min="247" max="247" width="4.25" style="10" customWidth="1"/>
    <col min="248" max="248" width="8.25" style="10" customWidth="1"/>
    <col min="249" max="249" width="4.625" style="10" customWidth="1"/>
    <col min="250" max="250" width="4.125" style="10" customWidth="1"/>
    <col min="251" max="251" width="8.625" style="10" customWidth="1"/>
    <col min="252" max="252" width="4.125" style="10" customWidth="1"/>
    <col min="253" max="253" width="4.625" style="10" customWidth="1"/>
    <col min="254" max="254" width="9.375" style="10" customWidth="1"/>
    <col min="255" max="255" width="1.375" style="10" customWidth="1"/>
    <col min="256" max="496" width="9" style="10"/>
    <col min="497" max="497" width="1.25" style="10" customWidth="1"/>
    <col min="498" max="498" width="7.25" style="10" customWidth="1"/>
    <col min="499" max="499" width="11.25" style="10" bestFit="1" customWidth="1"/>
    <col min="500" max="500" width="8.5" style="10" customWidth="1"/>
    <col min="501" max="501" width="17.375" style="10" customWidth="1"/>
    <col min="502" max="502" width="2.875" style="10" customWidth="1"/>
    <col min="503" max="503" width="4.25" style="10" customWidth="1"/>
    <col min="504" max="504" width="8.25" style="10" customWidth="1"/>
    <col min="505" max="505" width="4.625" style="10" customWidth="1"/>
    <col min="506" max="506" width="4.125" style="10" customWidth="1"/>
    <col min="507" max="507" width="8.625" style="10" customWidth="1"/>
    <col min="508" max="508" width="4.125" style="10" customWidth="1"/>
    <col min="509" max="509" width="4.625" style="10" customWidth="1"/>
    <col min="510" max="510" width="9.375" style="10" customWidth="1"/>
    <col min="511" max="511" width="1.375" style="10" customWidth="1"/>
    <col min="512" max="752" width="9" style="10"/>
    <col min="753" max="753" width="1.25" style="10" customWidth="1"/>
    <col min="754" max="754" width="7.25" style="10" customWidth="1"/>
    <col min="755" max="755" width="11.25" style="10" bestFit="1" customWidth="1"/>
    <col min="756" max="756" width="8.5" style="10" customWidth="1"/>
    <col min="757" max="757" width="17.375" style="10" customWidth="1"/>
    <col min="758" max="758" width="2.875" style="10" customWidth="1"/>
    <col min="759" max="759" width="4.25" style="10" customWidth="1"/>
    <col min="760" max="760" width="8.25" style="10" customWidth="1"/>
    <col min="761" max="761" width="4.625" style="10" customWidth="1"/>
    <col min="762" max="762" width="4.125" style="10" customWidth="1"/>
    <col min="763" max="763" width="8.625" style="10" customWidth="1"/>
    <col min="764" max="764" width="4.125" style="10" customWidth="1"/>
    <col min="765" max="765" width="4.625" style="10" customWidth="1"/>
    <col min="766" max="766" width="9.375" style="10" customWidth="1"/>
    <col min="767" max="767" width="1.375" style="10" customWidth="1"/>
    <col min="768" max="1008" width="9" style="10"/>
    <col min="1009" max="1009" width="1.25" style="10" customWidth="1"/>
    <col min="1010" max="1010" width="7.25" style="10" customWidth="1"/>
    <col min="1011" max="1011" width="11.25" style="10" bestFit="1" customWidth="1"/>
    <col min="1012" max="1012" width="8.5" style="10" customWidth="1"/>
    <col min="1013" max="1013" width="17.375" style="10" customWidth="1"/>
    <col min="1014" max="1014" width="2.875" style="10" customWidth="1"/>
    <col min="1015" max="1015" width="4.25" style="10" customWidth="1"/>
    <col min="1016" max="1016" width="8.25" style="10" customWidth="1"/>
    <col min="1017" max="1017" width="4.625" style="10" customWidth="1"/>
    <col min="1018" max="1018" width="4.125" style="10" customWidth="1"/>
    <col min="1019" max="1019" width="8.625" style="10" customWidth="1"/>
    <col min="1020" max="1020" width="4.125" style="10" customWidth="1"/>
    <col min="1021" max="1021" width="4.625" style="10" customWidth="1"/>
    <col min="1022" max="1022" width="9.375" style="10" customWidth="1"/>
    <col min="1023" max="1023" width="1.375" style="10" customWidth="1"/>
    <col min="1024" max="1264" width="9" style="10"/>
    <col min="1265" max="1265" width="1.25" style="10" customWidth="1"/>
    <col min="1266" max="1266" width="7.25" style="10" customWidth="1"/>
    <col min="1267" max="1267" width="11.25" style="10" bestFit="1" customWidth="1"/>
    <col min="1268" max="1268" width="8.5" style="10" customWidth="1"/>
    <col min="1269" max="1269" width="17.375" style="10" customWidth="1"/>
    <col min="1270" max="1270" width="2.875" style="10" customWidth="1"/>
    <col min="1271" max="1271" width="4.25" style="10" customWidth="1"/>
    <col min="1272" max="1272" width="8.25" style="10" customWidth="1"/>
    <col min="1273" max="1273" width="4.625" style="10" customWidth="1"/>
    <col min="1274" max="1274" width="4.125" style="10" customWidth="1"/>
    <col min="1275" max="1275" width="8.625" style="10" customWidth="1"/>
    <col min="1276" max="1276" width="4.125" style="10" customWidth="1"/>
    <col min="1277" max="1277" width="4.625" style="10" customWidth="1"/>
    <col min="1278" max="1278" width="9.375" style="10" customWidth="1"/>
    <col min="1279" max="1279" width="1.375" style="10" customWidth="1"/>
    <col min="1280" max="1520" width="9" style="10"/>
    <col min="1521" max="1521" width="1.25" style="10" customWidth="1"/>
    <col min="1522" max="1522" width="7.25" style="10" customWidth="1"/>
    <col min="1523" max="1523" width="11.25" style="10" bestFit="1" customWidth="1"/>
    <col min="1524" max="1524" width="8.5" style="10" customWidth="1"/>
    <col min="1525" max="1525" width="17.375" style="10" customWidth="1"/>
    <col min="1526" max="1526" width="2.875" style="10" customWidth="1"/>
    <col min="1527" max="1527" width="4.25" style="10" customWidth="1"/>
    <col min="1528" max="1528" width="8.25" style="10" customWidth="1"/>
    <col min="1529" max="1529" width="4.625" style="10" customWidth="1"/>
    <col min="1530" max="1530" width="4.125" style="10" customWidth="1"/>
    <col min="1531" max="1531" width="8.625" style="10" customWidth="1"/>
    <col min="1532" max="1532" width="4.125" style="10" customWidth="1"/>
    <col min="1533" max="1533" width="4.625" style="10" customWidth="1"/>
    <col min="1534" max="1534" width="9.375" style="10" customWidth="1"/>
    <col min="1535" max="1535" width="1.375" style="10" customWidth="1"/>
    <col min="1536" max="1776" width="9" style="10"/>
    <col min="1777" max="1777" width="1.25" style="10" customWidth="1"/>
    <col min="1778" max="1778" width="7.25" style="10" customWidth="1"/>
    <col min="1779" max="1779" width="11.25" style="10" bestFit="1" customWidth="1"/>
    <col min="1780" max="1780" width="8.5" style="10" customWidth="1"/>
    <col min="1781" max="1781" width="17.375" style="10" customWidth="1"/>
    <col min="1782" max="1782" width="2.875" style="10" customWidth="1"/>
    <col min="1783" max="1783" width="4.25" style="10" customWidth="1"/>
    <col min="1784" max="1784" width="8.25" style="10" customWidth="1"/>
    <col min="1785" max="1785" width="4.625" style="10" customWidth="1"/>
    <col min="1786" max="1786" width="4.125" style="10" customWidth="1"/>
    <col min="1787" max="1787" width="8.625" style="10" customWidth="1"/>
    <col min="1788" max="1788" width="4.125" style="10" customWidth="1"/>
    <col min="1789" max="1789" width="4.625" style="10" customWidth="1"/>
    <col min="1790" max="1790" width="9.375" style="10" customWidth="1"/>
    <col min="1791" max="1791" width="1.375" style="10" customWidth="1"/>
    <col min="1792" max="2032" width="9" style="10"/>
    <col min="2033" max="2033" width="1.25" style="10" customWidth="1"/>
    <col min="2034" max="2034" width="7.25" style="10" customWidth="1"/>
    <col min="2035" max="2035" width="11.25" style="10" bestFit="1" customWidth="1"/>
    <col min="2036" max="2036" width="8.5" style="10" customWidth="1"/>
    <col min="2037" max="2037" width="17.375" style="10" customWidth="1"/>
    <col min="2038" max="2038" width="2.875" style="10" customWidth="1"/>
    <col min="2039" max="2039" width="4.25" style="10" customWidth="1"/>
    <col min="2040" max="2040" width="8.25" style="10" customWidth="1"/>
    <col min="2041" max="2041" width="4.625" style="10" customWidth="1"/>
    <col min="2042" max="2042" width="4.125" style="10" customWidth="1"/>
    <col min="2043" max="2043" width="8.625" style="10" customWidth="1"/>
    <col min="2044" max="2044" width="4.125" style="10" customWidth="1"/>
    <col min="2045" max="2045" width="4.625" style="10" customWidth="1"/>
    <col min="2046" max="2046" width="9.375" style="10" customWidth="1"/>
    <col min="2047" max="2047" width="1.375" style="10" customWidth="1"/>
    <col min="2048" max="2288" width="9" style="10"/>
    <col min="2289" max="2289" width="1.25" style="10" customWidth="1"/>
    <col min="2290" max="2290" width="7.25" style="10" customWidth="1"/>
    <col min="2291" max="2291" width="11.25" style="10" bestFit="1" customWidth="1"/>
    <col min="2292" max="2292" width="8.5" style="10" customWidth="1"/>
    <col min="2293" max="2293" width="17.375" style="10" customWidth="1"/>
    <col min="2294" max="2294" width="2.875" style="10" customWidth="1"/>
    <col min="2295" max="2295" width="4.25" style="10" customWidth="1"/>
    <col min="2296" max="2296" width="8.25" style="10" customWidth="1"/>
    <col min="2297" max="2297" width="4.625" style="10" customWidth="1"/>
    <col min="2298" max="2298" width="4.125" style="10" customWidth="1"/>
    <col min="2299" max="2299" width="8.625" style="10" customWidth="1"/>
    <col min="2300" max="2300" width="4.125" style="10" customWidth="1"/>
    <col min="2301" max="2301" width="4.625" style="10" customWidth="1"/>
    <col min="2302" max="2302" width="9.375" style="10" customWidth="1"/>
    <col min="2303" max="2303" width="1.375" style="10" customWidth="1"/>
    <col min="2304" max="2544" width="9" style="10"/>
    <col min="2545" max="2545" width="1.25" style="10" customWidth="1"/>
    <col min="2546" max="2546" width="7.25" style="10" customWidth="1"/>
    <col min="2547" max="2547" width="11.25" style="10" bestFit="1" customWidth="1"/>
    <col min="2548" max="2548" width="8.5" style="10" customWidth="1"/>
    <col min="2549" max="2549" width="17.375" style="10" customWidth="1"/>
    <col min="2550" max="2550" width="2.875" style="10" customWidth="1"/>
    <col min="2551" max="2551" width="4.25" style="10" customWidth="1"/>
    <col min="2552" max="2552" width="8.25" style="10" customWidth="1"/>
    <col min="2553" max="2553" width="4.625" style="10" customWidth="1"/>
    <col min="2554" max="2554" width="4.125" style="10" customWidth="1"/>
    <col min="2555" max="2555" width="8.625" style="10" customWidth="1"/>
    <col min="2556" max="2556" width="4.125" style="10" customWidth="1"/>
    <col min="2557" max="2557" width="4.625" style="10" customWidth="1"/>
    <col min="2558" max="2558" width="9.375" style="10" customWidth="1"/>
    <col min="2559" max="2559" width="1.375" style="10" customWidth="1"/>
    <col min="2560" max="2800" width="9" style="10"/>
    <col min="2801" max="2801" width="1.25" style="10" customWidth="1"/>
    <col min="2802" max="2802" width="7.25" style="10" customWidth="1"/>
    <col min="2803" max="2803" width="11.25" style="10" bestFit="1" customWidth="1"/>
    <col min="2804" max="2804" width="8.5" style="10" customWidth="1"/>
    <col min="2805" max="2805" width="17.375" style="10" customWidth="1"/>
    <col min="2806" max="2806" width="2.875" style="10" customWidth="1"/>
    <col min="2807" max="2807" width="4.25" style="10" customWidth="1"/>
    <col min="2808" max="2808" width="8.25" style="10" customWidth="1"/>
    <col min="2809" max="2809" width="4.625" style="10" customWidth="1"/>
    <col min="2810" max="2810" width="4.125" style="10" customWidth="1"/>
    <col min="2811" max="2811" width="8.625" style="10" customWidth="1"/>
    <col min="2812" max="2812" width="4.125" style="10" customWidth="1"/>
    <col min="2813" max="2813" width="4.625" style="10" customWidth="1"/>
    <col min="2814" max="2814" width="9.375" style="10" customWidth="1"/>
    <col min="2815" max="2815" width="1.375" style="10" customWidth="1"/>
    <col min="2816" max="3056" width="9" style="10"/>
    <col min="3057" max="3057" width="1.25" style="10" customWidth="1"/>
    <col min="3058" max="3058" width="7.25" style="10" customWidth="1"/>
    <col min="3059" max="3059" width="11.25" style="10" bestFit="1" customWidth="1"/>
    <col min="3060" max="3060" width="8.5" style="10" customWidth="1"/>
    <col min="3061" max="3061" width="17.375" style="10" customWidth="1"/>
    <col min="3062" max="3062" width="2.875" style="10" customWidth="1"/>
    <col min="3063" max="3063" width="4.25" style="10" customWidth="1"/>
    <col min="3064" max="3064" width="8.25" style="10" customWidth="1"/>
    <col min="3065" max="3065" width="4.625" style="10" customWidth="1"/>
    <col min="3066" max="3066" width="4.125" style="10" customWidth="1"/>
    <col min="3067" max="3067" width="8.625" style="10" customWidth="1"/>
    <col min="3068" max="3068" width="4.125" style="10" customWidth="1"/>
    <col min="3069" max="3069" width="4.625" style="10" customWidth="1"/>
    <col min="3070" max="3070" width="9.375" style="10" customWidth="1"/>
    <col min="3071" max="3071" width="1.375" style="10" customWidth="1"/>
    <col min="3072" max="3312" width="9" style="10"/>
    <col min="3313" max="3313" width="1.25" style="10" customWidth="1"/>
    <col min="3314" max="3314" width="7.25" style="10" customWidth="1"/>
    <col min="3315" max="3315" width="11.25" style="10" bestFit="1" customWidth="1"/>
    <col min="3316" max="3316" width="8.5" style="10" customWidth="1"/>
    <col min="3317" max="3317" width="17.375" style="10" customWidth="1"/>
    <col min="3318" max="3318" width="2.875" style="10" customWidth="1"/>
    <col min="3319" max="3319" width="4.25" style="10" customWidth="1"/>
    <col min="3320" max="3320" width="8.25" style="10" customWidth="1"/>
    <col min="3321" max="3321" width="4.625" style="10" customWidth="1"/>
    <col min="3322" max="3322" width="4.125" style="10" customWidth="1"/>
    <col min="3323" max="3323" width="8.625" style="10" customWidth="1"/>
    <col min="3324" max="3324" width="4.125" style="10" customWidth="1"/>
    <col min="3325" max="3325" width="4.625" style="10" customWidth="1"/>
    <col min="3326" max="3326" width="9.375" style="10" customWidth="1"/>
    <col min="3327" max="3327" width="1.375" style="10" customWidth="1"/>
    <col min="3328" max="3568" width="9" style="10"/>
    <col min="3569" max="3569" width="1.25" style="10" customWidth="1"/>
    <col min="3570" max="3570" width="7.25" style="10" customWidth="1"/>
    <col min="3571" max="3571" width="11.25" style="10" bestFit="1" customWidth="1"/>
    <col min="3572" max="3572" width="8.5" style="10" customWidth="1"/>
    <col min="3573" max="3573" width="17.375" style="10" customWidth="1"/>
    <col min="3574" max="3574" width="2.875" style="10" customWidth="1"/>
    <col min="3575" max="3575" width="4.25" style="10" customWidth="1"/>
    <col min="3576" max="3576" width="8.25" style="10" customWidth="1"/>
    <col min="3577" max="3577" width="4.625" style="10" customWidth="1"/>
    <col min="3578" max="3578" width="4.125" style="10" customWidth="1"/>
    <col min="3579" max="3579" width="8.625" style="10" customWidth="1"/>
    <col min="3580" max="3580" width="4.125" style="10" customWidth="1"/>
    <col min="3581" max="3581" width="4.625" style="10" customWidth="1"/>
    <col min="3582" max="3582" width="9.375" style="10" customWidth="1"/>
    <col min="3583" max="3583" width="1.375" style="10" customWidth="1"/>
    <col min="3584" max="3824" width="9" style="10"/>
    <col min="3825" max="3825" width="1.25" style="10" customWidth="1"/>
    <col min="3826" max="3826" width="7.25" style="10" customWidth="1"/>
    <col min="3827" max="3827" width="11.25" style="10" bestFit="1" customWidth="1"/>
    <col min="3828" max="3828" width="8.5" style="10" customWidth="1"/>
    <col min="3829" max="3829" width="17.375" style="10" customWidth="1"/>
    <col min="3830" max="3830" width="2.875" style="10" customWidth="1"/>
    <col min="3831" max="3831" width="4.25" style="10" customWidth="1"/>
    <col min="3832" max="3832" width="8.25" style="10" customWidth="1"/>
    <col min="3833" max="3833" width="4.625" style="10" customWidth="1"/>
    <col min="3834" max="3834" width="4.125" style="10" customWidth="1"/>
    <col min="3835" max="3835" width="8.625" style="10" customWidth="1"/>
    <col min="3836" max="3836" width="4.125" style="10" customWidth="1"/>
    <col min="3837" max="3837" width="4.625" style="10" customWidth="1"/>
    <col min="3838" max="3838" width="9.375" style="10" customWidth="1"/>
    <col min="3839" max="3839" width="1.375" style="10" customWidth="1"/>
    <col min="3840" max="4080" width="9" style="10"/>
    <col min="4081" max="4081" width="1.25" style="10" customWidth="1"/>
    <col min="4082" max="4082" width="7.25" style="10" customWidth="1"/>
    <col min="4083" max="4083" width="11.25" style="10" bestFit="1" customWidth="1"/>
    <col min="4084" max="4084" width="8.5" style="10" customWidth="1"/>
    <col min="4085" max="4085" width="17.375" style="10" customWidth="1"/>
    <col min="4086" max="4086" width="2.875" style="10" customWidth="1"/>
    <col min="4087" max="4087" width="4.25" style="10" customWidth="1"/>
    <col min="4088" max="4088" width="8.25" style="10" customWidth="1"/>
    <col min="4089" max="4089" width="4.625" style="10" customWidth="1"/>
    <col min="4090" max="4090" width="4.125" style="10" customWidth="1"/>
    <col min="4091" max="4091" width="8.625" style="10" customWidth="1"/>
    <col min="4092" max="4092" width="4.125" style="10" customWidth="1"/>
    <col min="4093" max="4093" width="4.625" style="10" customWidth="1"/>
    <col min="4094" max="4094" width="9.375" style="10" customWidth="1"/>
    <col min="4095" max="4095" width="1.375" style="10" customWidth="1"/>
    <col min="4096" max="4336" width="9" style="10"/>
    <col min="4337" max="4337" width="1.25" style="10" customWidth="1"/>
    <col min="4338" max="4338" width="7.25" style="10" customWidth="1"/>
    <col min="4339" max="4339" width="11.25" style="10" bestFit="1" customWidth="1"/>
    <col min="4340" max="4340" width="8.5" style="10" customWidth="1"/>
    <col min="4341" max="4341" width="17.375" style="10" customWidth="1"/>
    <col min="4342" max="4342" width="2.875" style="10" customWidth="1"/>
    <col min="4343" max="4343" width="4.25" style="10" customWidth="1"/>
    <col min="4344" max="4344" width="8.25" style="10" customWidth="1"/>
    <col min="4345" max="4345" width="4.625" style="10" customWidth="1"/>
    <col min="4346" max="4346" width="4.125" style="10" customWidth="1"/>
    <col min="4347" max="4347" width="8.625" style="10" customWidth="1"/>
    <col min="4348" max="4348" width="4.125" style="10" customWidth="1"/>
    <col min="4349" max="4349" width="4.625" style="10" customWidth="1"/>
    <col min="4350" max="4350" width="9.375" style="10" customWidth="1"/>
    <col min="4351" max="4351" width="1.375" style="10" customWidth="1"/>
    <col min="4352" max="4592" width="9" style="10"/>
    <col min="4593" max="4593" width="1.25" style="10" customWidth="1"/>
    <col min="4594" max="4594" width="7.25" style="10" customWidth="1"/>
    <col min="4595" max="4595" width="11.25" style="10" bestFit="1" customWidth="1"/>
    <col min="4596" max="4596" width="8.5" style="10" customWidth="1"/>
    <col min="4597" max="4597" width="17.375" style="10" customWidth="1"/>
    <col min="4598" max="4598" width="2.875" style="10" customWidth="1"/>
    <col min="4599" max="4599" width="4.25" style="10" customWidth="1"/>
    <col min="4600" max="4600" width="8.25" style="10" customWidth="1"/>
    <col min="4601" max="4601" width="4.625" style="10" customWidth="1"/>
    <col min="4602" max="4602" width="4.125" style="10" customWidth="1"/>
    <col min="4603" max="4603" width="8.625" style="10" customWidth="1"/>
    <col min="4604" max="4604" width="4.125" style="10" customWidth="1"/>
    <col min="4605" max="4605" width="4.625" style="10" customWidth="1"/>
    <col min="4606" max="4606" width="9.375" style="10" customWidth="1"/>
    <col min="4607" max="4607" width="1.375" style="10" customWidth="1"/>
    <col min="4608" max="4848" width="9" style="10"/>
    <col min="4849" max="4849" width="1.25" style="10" customWidth="1"/>
    <col min="4850" max="4850" width="7.25" style="10" customWidth="1"/>
    <col min="4851" max="4851" width="11.25" style="10" bestFit="1" customWidth="1"/>
    <col min="4852" max="4852" width="8.5" style="10" customWidth="1"/>
    <col min="4853" max="4853" width="17.375" style="10" customWidth="1"/>
    <col min="4854" max="4854" width="2.875" style="10" customWidth="1"/>
    <col min="4855" max="4855" width="4.25" style="10" customWidth="1"/>
    <col min="4856" max="4856" width="8.25" style="10" customWidth="1"/>
    <col min="4857" max="4857" width="4.625" style="10" customWidth="1"/>
    <col min="4858" max="4858" width="4.125" style="10" customWidth="1"/>
    <col min="4859" max="4859" width="8.625" style="10" customWidth="1"/>
    <col min="4860" max="4860" width="4.125" style="10" customWidth="1"/>
    <col min="4861" max="4861" width="4.625" style="10" customWidth="1"/>
    <col min="4862" max="4862" width="9.375" style="10" customWidth="1"/>
    <col min="4863" max="4863" width="1.375" style="10" customWidth="1"/>
    <col min="4864" max="5104" width="9" style="10"/>
    <col min="5105" max="5105" width="1.25" style="10" customWidth="1"/>
    <col min="5106" max="5106" width="7.25" style="10" customWidth="1"/>
    <col min="5107" max="5107" width="11.25" style="10" bestFit="1" customWidth="1"/>
    <col min="5108" max="5108" width="8.5" style="10" customWidth="1"/>
    <col min="5109" max="5109" width="17.375" style="10" customWidth="1"/>
    <col min="5110" max="5110" width="2.875" style="10" customWidth="1"/>
    <col min="5111" max="5111" width="4.25" style="10" customWidth="1"/>
    <col min="5112" max="5112" width="8.25" style="10" customWidth="1"/>
    <col min="5113" max="5113" width="4.625" style="10" customWidth="1"/>
    <col min="5114" max="5114" width="4.125" style="10" customWidth="1"/>
    <col min="5115" max="5115" width="8.625" style="10" customWidth="1"/>
    <col min="5116" max="5116" width="4.125" style="10" customWidth="1"/>
    <col min="5117" max="5117" width="4.625" style="10" customWidth="1"/>
    <col min="5118" max="5118" width="9.375" style="10" customWidth="1"/>
    <col min="5119" max="5119" width="1.375" style="10" customWidth="1"/>
    <col min="5120" max="5360" width="9" style="10"/>
    <col min="5361" max="5361" width="1.25" style="10" customWidth="1"/>
    <col min="5362" max="5362" width="7.25" style="10" customWidth="1"/>
    <col min="5363" max="5363" width="11.25" style="10" bestFit="1" customWidth="1"/>
    <col min="5364" max="5364" width="8.5" style="10" customWidth="1"/>
    <col min="5365" max="5365" width="17.375" style="10" customWidth="1"/>
    <col min="5366" max="5366" width="2.875" style="10" customWidth="1"/>
    <col min="5367" max="5367" width="4.25" style="10" customWidth="1"/>
    <col min="5368" max="5368" width="8.25" style="10" customWidth="1"/>
    <col min="5369" max="5369" width="4.625" style="10" customWidth="1"/>
    <col min="5370" max="5370" width="4.125" style="10" customWidth="1"/>
    <col min="5371" max="5371" width="8.625" style="10" customWidth="1"/>
    <col min="5372" max="5372" width="4.125" style="10" customWidth="1"/>
    <col min="5373" max="5373" width="4.625" style="10" customWidth="1"/>
    <col min="5374" max="5374" width="9.375" style="10" customWidth="1"/>
    <col min="5375" max="5375" width="1.375" style="10" customWidth="1"/>
    <col min="5376" max="5616" width="9" style="10"/>
    <col min="5617" max="5617" width="1.25" style="10" customWidth="1"/>
    <col min="5618" max="5618" width="7.25" style="10" customWidth="1"/>
    <col min="5619" max="5619" width="11.25" style="10" bestFit="1" customWidth="1"/>
    <col min="5620" max="5620" width="8.5" style="10" customWidth="1"/>
    <col min="5621" max="5621" width="17.375" style="10" customWidth="1"/>
    <col min="5622" max="5622" width="2.875" style="10" customWidth="1"/>
    <col min="5623" max="5623" width="4.25" style="10" customWidth="1"/>
    <col min="5624" max="5624" width="8.25" style="10" customWidth="1"/>
    <col min="5625" max="5625" width="4.625" style="10" customWidth="1"/>
    <col min="5626" max="5626" width="4.125" style="10" customWidth="1"/>
    <col min="5627" max="5627" width="8.625" style="10" customWidth="1"/>
    <col min="5628" max="5628" width="4.125" style="10" customWidth="1"/>
    <col min="5629" max="5629" width="4.625" style="10" customWidth="1"/>
    <col min="5630" max="5630" width="9.375" style="10" customWidth="1"/>
    <col min="5631" max="5631" width="1.375" style="10" customWidth="1"/>
    <col min="5632" max="5872" width="9" style="10"/>
    <col min="5873" max="5873" width="1.25" style="10" customWidth="1"/>
    <col min="5874" max="5874" width="7.25" style="10" customWidth="1"/>
    <col min="5875" max="5875" width="11.25" style="10" bestFit="1" customWidth="1"/>
    <col min="5876" max="5876" width="8.5" style="10" customWidth="1"/>
    <col min="5877" max="5877" width="17.375" style="10" customWidth="1"/>
    <col min="5878" max="5878" width="2.875" style="10" customWidth="1"/>
    <col min="5879" max="5879" width="4.25" style="10" customWidth="1"/>
    <col min="5880" max="5880" width="8.25" style="10" customWidth="1"/>
    <col min="5881" max="5881" width="4.625" style="10" customWidth="1"/>
    <col min="5882" max="5882" width="4.125" style="10" customWidth="1"/>
    <col min="5883" max="5883" width="8.625" style="10" customWidth="1"/>
    <col min="5884" max="5884" width="4.125" style="10" customWidth="1"/>
    <col min="5885" max="5885" width="4.625" style="10" customWidth="1"/>
    <col min="5886" max="5886" width="9.375" style="10" customWidth="1"/>
    <col min="5887" max="5887" width="1.375" style="10" customWidth="1"/>
    <col min="5888" max="6128" width="9" style="10"/>
    <col min="6129" max="6129" width="1.25" style="10" customWidth="1"/>
    <col min="6130" max="6130" width="7.25" style="10" customWidth="1"/>
    <col min="6131" max="6131" width="11.25" style="10" bestFit="1" customWidth="1"/>
    <col min="6132" max="6132" width="8.5" style="10" customWidth="1"/>
    <col min="6133" max="6133" width="17.375" style="10" customWidth="1"/>
    <col min="6134" max="6134" width="2.875" style="10" customWidth="1"/>
    <col min="6135" max="6135" width="4.25" style="10" customWidth="1"/>
    <col min="6136" max="6136" width="8.25" style="10" customWidth="1"/>
    <col min="6137" max="6137" width="4.625" style="10" customWidth="1"/>
    <col min="6138" max="6138" width="4.125" style="10" customWidth="1"/>
    <col min="6139" max="6139" width="8.625" style="10" customWidth="1"/>
    <col min="6140" max="6140" width="4.125" style="10" customWidth="1"/>
    <col min="6141" max="6141" width="4.625" style="10" customWidth="1"/>
    <col min="6142" max="6142" width="9.375" style="10" customWidth="1"/>
    <col min="6143" max="6143" width="1.375" style="10" customWidth="1"/>
    <col min="6144" max="6384" width="9" style="10"/>
    <col min="6385" max="6385" width="1.25" style="10" customWidth="1"/>
    <col min="6386" max="6386" width="7.25" style="10" customWidth="1"/>
    <col min="6387" max="6387" width="11.25" style="10" bestFit="1" customWidth="1"/>
    <col min="6388" max="6388" width="8.5" style="10" customWidth="1"/>
    <col min="6389" max="6389" width="17.375" style="10" customWidth="1"/>
    <col min="6390" max="6390" width="2.875" style="10" customWidth="1"/>
    <col min="6391" max="6391" width="4.25" style="10" customWidth="1"/>
    <col min="6392" max="6392" width="8.25" style="10" customWidth="1"/>
    <col min="6393" max="6393" width="4.625" style="10" customWidth="1"/>
    <col min="6394" max="6394" width="4.125" style="10" customWidth="1"/>
    <col min="6395" max="6395" width="8.625" style="10" customWidth="1"/>
    <col min="6396" max="6396" width="4.125" style="10" customWidth="1"/>
    <col min="6397" max="6397" width="4.625" style="10" customWidth="1"/>
    <col min="6398" max="6398" width="9.375" style="10" customWidth="1"/>
    <col min="6399" max="6399" width="1.375" style="10" customWidth="1"/>
    <col min="6400" max="6640" width="9" style="10"/>
    <col min="6641" max="6641" width="1.25" style="10" customWidth="1"/>
    <col min="6642" max="6642" width="7.25" style="10" customWidth="1"/>
    <col min="6643" max="6643" width="11.25" style="10" bestFit="1" customWidth="1"/>
    <col min="6644" max="6644" width="8.5" style="10" customWidth="1"/>
    <col min="6645" max="6645" width="17.375" style="10" customWidth="1"/>
    <col min="6646" max="6646" width="2.875" style="10" customWidth="1"/>
    <col min="6647" max="6647" width="4.25" style="10" customWidth="1"/>
    <col min="6648" max="6648" width="8.25" style="10" customWidth="1"/>
    <col min="6649" max="6649" width="4.625" style="10" customWidth="1"/>
    <col min="6650" max="6650" width="4.125" style="10" customWidth="1"/>
    <col min="6651" max="6651" width="8.625" style="10" customWidth="1"/>
    <col min="6652" max="6652" width="4.125" style="10" customWidth="1"/>
    <col min="6653" max="6653" width="4.625" style="10" customWidth="1"/>
    <col min="6654" max="6654" width="9.375" style="10" customWidth="1"/>
    <col min="6655" max="6655" width="1.375" style="10" customWidth="1"/>
    <col min="6656" max="6896" width="9" style="10"/>
    <col min="6897" max="6897" width="1.25" style="10" customWidth="1"/>
    <col min="6898" max="6898" width="7.25" style="10" customWidth="1"/>
    <col min="6899" max="6899" width="11.25" style="10" bestFit="1" customWidth="1"/>
    <col min="6900" max="6900" width="8.5" style="10" customWidth="1"/>
    <col min="6901" max="6901" width="17.375" style="10" customWidth="1"/>
    <col min="6902" max="6902" width="2.875" style="10" customWidth="1"/>
    <col min="6903" max="6903" width="4.25" style="10" customWidth="1"/>
    <col min="6904" max="6904" width="8.25" style="10" customWidth="1"/>
    <col min="6905" max="6905" width="4.625" style="10" customWidth="1"/>
    <col min="6906" max="6906" width="4.125" style="10" customWidth="1"/>
    <col min="6907" max="6907" width="8.625" style="10" customWidth="1"/>
    <col min="6908" max="6908" width="4.125" style="10" customWidth="1"/>
    <col min="6909" max="6909" width="4.625" style="10" customWidth="1"/>
    <col min="6910" max="6910" width="9.375" style="10" customWidth="1"/>
    <col min="6911" max="6911" width="1.375" style="10" customWidth="1"/>
    <col min="6912" max="7152" width="9" style="10"/>
    <col min="7153" max="7153" width="1.25" style="10" customWidth="1"/>
    <col min="7154" max="7154" width="7.25" style="10" customWidth="1"/>
    <col min="7155" max="7155" width="11.25" style="10" bestFit="1" customWidth="1"/>
    <col min="7156" max="7156" width="8.5" style="10" customWidth="1"/>
    <col min="7157" max="7157" width="17.375" style="10" customWidth="1"/>
    <col min="7158" max="7158" width="2.875" style="10" customWidth="1"/>
    <col min="7159" max="7159" width="4.25" style="10" customWidth="1"/>
    <col min="7160" max="7160" width="8.25" style="10" customWidth="1"/>
    <col min="7161" max="7161" width="4.625" style="10" customWidth="1"/>
    <col min="7162" max="7162" width="4.125" style="10" customWidth="1"/>
    <col min="7163" max="7163" width="8.625" style="10" customWidth="1"/>
    <col min="7164" max="7164" width="4.125" style="10" customWidth="1"/>
    <col min="7165" max="7165" width="4.625" style="10" customWidth="1"/>
    <col min="7166" max="7166" width="9.375" style="10" customWidth="1"/>
    <col min="7167" max="7167" width="1.375" style="10" customWidth="1"/>
    <col min="7168" max="7408" width="9" style="10"/>
    <col min="7409" max="7409" width="1.25" style="10" customWidth="1"/>
    <col min="7410" max="7410" width="7.25" style="10" customWidth="1"/>
    <col min="7411" max="7411" width="11.25" style="10" bestFit="1" customWidth="1"/>
    <col min="7412" max="7412" width="8.5" style="10" customWidth="1"/>
    <col min="7413" max="7413" width="17.375" style="10" customWidth="1"/>
    <col min="7414" max="7414" width="2.875" style="10" customWidth="1"/>
    <col min="7415" max="7415" width="4.25" style="10" customWidth="1"/>
    <col min="7416" max="7416" width="8.25" style="10" customWidth="1"/>
    <col min="7417" max="7417" width="4.625" style="10" customWidth="1"/>
    <col min="7418" max="7418" width="4.125" style="10" customWidth="1"/>
    <col min="7419" max="7419" width="8.625" style="10" customWidth="1"/>
    <col min="7420" max="7420" width="4.125" style="10" customWidth="1"/>
    <col min="7421" max="7421" width="4.625" style="10" customWidth="1"/>
    <col min="7422" max="7422" width="9.375" style="10" customWidth="1"/>
    <col min="7423" max="7423" width="1.375" style="10" customWidth="1"/>
    <col min="7424" max="7664" width="9" style="10"/>
    <col min="7665" max="7665" width="1.25" style="10" customWidth="1"/>
    <col min="7666" max="7666" width="7.25" style="10" customWidth="1"/>
    <col min="7667" max="7667" width="11.25" style="10" bestFit="1" customWidth="1"/>
    <col min="7668" max="7668" width="8.5" style="10" customWidth="1"/>
    <col min="7669" max="7669" width="17.375" style="10" customWidth="1"/>
    <col min="7670" max="7670" width="2.875" style="10" customWidth="1"/>
    <col min="7671" max="7671" width="4.25" style="10" customWidth="1"/>
    <col min="7672" max="7672" width="8.25" style="10" customWidth="1"/>
    <col min="7673" max="7673" width="4.625" style="10" customWidth="1"/>
    <col min="7674" max="7674" width="4.125" style="10" customWidth="1"/>
    <col min="7675" max="7675" width="8.625" style="10" customWidth="1"/>
    <col min="7676" max="7676" width="4.125" style="10" customWidth="1"/>
    <col min="7677" max="7677" width="4.625" style="10" customWidth="1"/>
    <col min="7678" max="7678" width="9.375" style="10" customWidth="1"/>
    <col min="7679" max="7679" width="1.375" style="10" customWidth="1"/>
    <col min="7680" max="7920" width="9" style="10"/>
    <col min="7921" max="7921" width="1.25" style="10" customWidth="1"/>
    <col min="7922" max="7922" width="7.25" style="10" customWidth="1"/>
    <col min="7923" max="7923" width="11.25" style="10" bestFit="1" customWidth="1"/>
    <col min="7924" max="7924" width="8.5" style="10" customWidth="1"/>
    <col min="7925" max="7925" width="17.375" style="10" customWidth="1"/>
    <col min="7926" max="7926" width="2.875" style="10" customWidth="1"/>
    <col min="7927" max="7927" width="4.25" style="10" customWidth="1"/>
    <col min="7928" max="7928" width="8.25" style="10" customWidth="1"/>
    <col min="7929" max="7929" width="4.625" style="10" customWidth="1"/>
    <col min="7930" max="7930" width="4.125" style="10" customWidth="1"/>
    <col min="7931" max="7931" width="8.625" style="10" customWidth="1"/>
    <col min="7932" max="7932" width="4.125" style="10" customWidth="1"/>
    <col min="7933" max="7933" width="4.625" style="10" customWidth="1"/>
    <col min="7934" max="7934" width="9.375" style="10" customWidth="1"/>
    <col min="7935" max="7935" width="1.375" style="10" customWidth="1"/>
    <col min="7936" max="8176" width="9" style="10"/>
    <col min="8177" max="8177" width="1.25" style="10" customWidth="1"/>
    <col min="8178" max="8178" width="7.25" style="10" customWidth="1"/>
    <col min="8179" max="8179" width="11.25" style="10" bestFit="1" customWidth="1"/>
    <col min="8180" max="8180" width="8.5" style="10" customWidth="1"/>
    <col min="8181" max="8181" width="17.375" style="10" customWidth="1"/>
    <col min="8182" max="8182" width="2.875" style="10" customWidth="1"/>
    <col min="8183" max="8183" width="4.25" style="10" customWidth="1"/>
    <col min="8184" max="8184" width="8.25" style="10" customWidth="1"/>
    <col min="8185" max="8185" width="4.625" style="10" customWidth="1"/>
    <col min="8186" max="8186" width="4.125" style="10" customWidth="1"/>
    <col min="8187" max="8187" width="8.625" style="10" customWidth="1"/>
    <col min="8188" max="8188" width="4.125" style="10" customWidth="1"/>
    <col min="8189" max="8189" width="4.625" style="10" customWidth="1"/>
    <col min="8190" max="8190" width="9.375" style="10" customWidth="1"/>
    <col min="8191" max="8191" width="1.375" style="10" customWidth="1"/>
    <col min="8192" max="8432" width="9" style="10"/>
    <col min="8433" max="8433" width="1.25" style="10" customWidth="1"/>
    <col min="8434" max="8434" width="7.25" style="10" customWidth="1"/>
    <col min="8435" max="8435" width="11.25" style="10" bestFit="1" customWidth="1"/>
    <col min="8436" max="8436" width="8.5" style="10" customWidth="1"/>
    <col min="8437" max="8437" width="17.375" style="10" customWidth="1"/>
    <col min="8438" max="8438" width="2.875" style="10" customWidth="1"/>
    <col min="8439" max="8439" width="4.25" style="10" customWidth="1"/>
    <col min="8440" max="8440" width="8.25" style="10" customWidth="1"/>
    <col min="8441" max="8441" width="4.625" style="10" customWidth="1"/>
    <col min="8442" max="8442" width="4.125" style="10" customWidth="1"/>
    <col min="8443" max="8443" width="8.625" style="10" customWidth="1"/>
    <col min="8444" max="8444" width="4.125" style="10" customWidth="1"/>
    <col min="8445" max="8445" width="4.625" style="10" customWidth="1"/>
    <col min="8446" max="8446" width="9.375" style="10" customWidth="1"/>
    <col min="8447" max="8447" width="1.375" style="10" customWidth="1"/>
    <col min="8448" max="8688" width="9" style="10"/>
    <col min="8689" max="8689" width="1.25" style="10" customWidth="1"/>
    <col min="8690" max="8690" width="7.25" style="10" customWidth="1"/>
    <col min="8691" max="8691" width="11.25" style="10" bestFit="1" customWidth="1"/>
    <col min="8692" max="8692" width="8.5" style="10" customWidth="1"/>
    <col min="8693" max="8693" width="17.375" style="10" customWidth="1"/>
    <col min="8694" max="8694" width="2.875" style="10" customWidth="1"/>
    <col min="8695" max="8695" width="4.25" style="10" customWidth="1"/>
    <col min="8696" max="8696" width="8.25" style="10" customWidth="1"/>
    <col min="8697" max="8697" width="4.625" style="10" customWidth="1"/>
    <col min="8698" max="8698" width="4.125" style="10" customWidth="1"/>
    <col min="8699" max="8699" width="8.625" style="10" customWidth="1"/>
    <col min="8700" max="8700" width="4.125" style="10" customWidth="1"/>
    <col min="8701" max="8701" width="4.625" style="10" customWidth="1"/>
    <col min="8702" max="8702" width="9.375" style="10" customWidth="1"/>
    <col min="8703" max="8703" width="1.375" style="10" customWidth="1"/>
    <col min="8704" max="8944" width="9" style="10"/>
    <col min="8945" max="8945" width="1.25" style="10" customWidth="1"/>
    <col min="8946" max="8946" width="7.25" style="10" customWidth="1"/>
    <col min="8947" max="8947" width="11.25" style="10" bestFit="1" customWidth="1"/>
    <col min="8948" max="8948" width="8.5" style="10" customWidth="1"/>
    <col min="8949" max="8949" width="17.375" style="10" customWidth="1"/>
    <col min="8950" max="8950" width="2.875" style="10" customWidth="1"/>
    <col min="8951" max="8951" width="4.25" style="10" customWidth="1"/>
    <col min="8952" max="8952" width="8.25" style="10" customWidth="1"/>
    <col min="8953" max="8953" width="4.625" style="10" customWidth="1"/>
    <col min="8954" max="8954" width="4.125" style="10" customWidth="1"/>
    <col min="8955" max="8955" width="8.625" style="10" customWidth="1"/>
    <col min="8956" max="8956" width="4.125" style="10" customWidth="1"/>
    <col min="8957" max="8957" width="4.625" style="10" customWidth="1"/>
    <col min="8958" max="8958" width="9.375" style="10" customWidth="1"/>
    <col min="8959" max="8959" width="1.375" style="10" customWidth="1"/>
    <col min="8960" max="9200" width="9" style="10"/>
    <col min="9201" max="9201" width="1.25" style="10" customWidth="1"/>
    <col min="9202" max="9202" width="7.25" style="10" customWidth="1"/>
    <col min="9203" max="9203" width="11.25" style="10" bestFit="1" customWidth="1"/>
    <col min="9204" max="9204" width="8.5" style="10" customWidth="1"/>
    <col min="9205" max="9205" width="17.375" style="10" customWidth="1"/>
    <col min="9206" max="9206" width="2.875" style="10" customWidth="1"/>
    <col min="9207" max="9207" width="4.25" style="10" customWidth="1"/>
    <col min="9208" max="9208" width="8.25" style="10" customWidth="1"/>
    <col min="9209" max="9209" width="4.625" style="10" customWidth="1"/>
    <col min="9210" max="9210" width="4.125" style="10" customWidth="1"/>
    <col min="9211" max="9211" width="8.625" style="10" customWidth="1"/>
    <col min="9212" max="9212" width="4.125" style="10" customWidth="1"/>
    <col min="9213" max="9213" width="4.625" style="10" customWidth="1"/>
    <col min="9214" max="9214" width="9.375" style="10" customWidth="1"/>
    <col min="9215" max="9215" width="1.375" style="10" customWidth="1"/>
    <col min="9216" max="9456" width="9" style="10"/>
    <col min="9457" max="9457" width="1.25" style="10" customWidth="1"/>
    <col min="9458" max="9458" width="7.25" style="10" customWidth="1"/>
    <col min="9459" max="9459" width="11.25" style="10" bestFit="1" customWidth="1"/>
    <col min="9460" max="9460" width="8.5" style="10" customWidth="1"/>
    <col min="9461" max="9461" width="17.375" style="10" customWidth="1"/>
    <col min="9462" max="9462" width="2.875" style="10" customWidth="1"/>
    <col min="9463" max="9463" width="4.25" style="10" customWidth="1"/>
    <col min="9464" max="9464" width="8.25" style="10" customWidth="1"/>
    <col min="9465" max="9465" width="4.625" style="10" customWidth="1"/>
    <col min="9466" max="9466" width="4.125" style="10" customWidth="1"/>
    <col min="9467" max="9467" width="8.625" style="10" customWidth="1"/>
    <col min="9468" max="9468" width="4.125" style="10" customWidth="1"/>
    <col min="9469" max="9469" width="4.625" style="10" customWidth="1"/>
    <col min="9470" max="9470" width="9.375" style="10" customWidth="1"/>
    <col min="9471" max="9471" width="1.375" style="10" customWidth="1"/>
    <col min="9472" max="9712" width="9" style="10"/>
    <col min="9713" max="9713" width="1.25" style="10" customWidth="1"/>
    <col min="9714" max="9714" width="7.25" style="10" customWidth="1"/>
    <col min="9715" max="9715" width="11.25" style="10" bestFit="1" customWidth="1"/>
    <col min="9716" max="9716" width="8.5" style="10" customWidth="1"/>
    <col min="9717" max="9717" width="17.375" style="10" customWidth="1"/>
    <col min="9718" max="9718" width="2.875" style="10" customWidth="1"/>
    <col min="9719" max="9719" width="4.25" style="10" customWidth="1"/>
    <col min="9720" max="9720" width="8.25" style="10" customWidth="1"/>
    <col min="9721" max="9721" width="4.625" style="10" customWidth="1"/>
    <col min="9722" max="9722" width="4.125" style="10" customWidth="1"/>
    <col min="9723" max="9723" width="8.625" style="10" customWidth="1"/>
    <col min="9724" max="9724" width="4.125" style="10" customWidth="1"/>
    <col min="9725" max="9725" width="4.625" style="10" customWidth="1"/>
    <col min="9726" max="9726" width="9.375" style="10" customWidth="1"/>
    <col min="9727" max="9727" width="1.375" style="10" customWidth="1"/>
    <col min="9728" max="9968" width="9" style="10"/>
    <col min="9969" max="9969" width="1.25" style="10" customWidth="1"/>
    <col min="9970" max="9970" width="7.25" style="10" customWidth="1"/>
    <col min="9971" max="9971" width="11.25" style="10" bestFit="1" customWidth="1"/>
    <col min="9972" max="9972" width="8.5" style="10" customWidth="1"/>
    <col min="9973" max="9973" width="17.375" style="10" customWidth="1"/>
    <col min="9974" max="9974" width="2.875" style="10" customWidth="1"/>
    <col min="9975" max="9975" width="4.25" style="10" customWidth="1"/>
    <col min="9976" max="9976" width="8.25" style="10" customWidth="1"/>
    <col min="9977" max="9977" width="4.625" style="10" customWidth="1"/>
    <col min="9978" max="9978" width="4.125" style="10" customWidth="1"/>
    <col min="9979" max="9979" width="8.625" style="10" customWidth="1"/>
    <col min="9980" max="9980" width="4.125" style="10" customWidth="1"/>
    <col min="9981" max="9981" width="4.625" style="10" customWidth="1"/>
    <col min="9982" max="9982" width="9.375" style="10" customWidth="1"/>
    <col min="9983" max="9983" width="1.375" style="10" customWidth="1"/>
    <col min="9984" max="10224" width="9" style="10"/>
    <col min="10225" max="10225" width="1.25" style="10" customWidth="1"/>
    <col min="10226" max="10226" width="7.25" style="10" customWidth="1"/>
    <col min="10227" max="10227" width="11.25" style="10" bestFit="1" customWidth="1"/>
    <col min="10228" max="10228" width="8.5" style="10" customWidth="1"/>
    <col min="10229" max="10229" width="17.375" style="10" customWidth="1"/>
    <col min="10230" max="10230" width="2.875" style="10" customWidth="1"/>
    <col min="10231" max="10231" width="4.25" style="10" customWidth="1"/>
    <col min="10232" max="10232" width="8.25" style="10" customWidth="1"/>
    <col min="10233" max="10233" width="4.625" style="10" customWidth="1"/>
    <col min="10234" max="10234" width="4.125" style="10" customWidth="1"/>
    <col min="10235" max="10235" width="8.625" style="10" customWidth="1"/>
    <col min="10236" max="10236" width="4.125" style="10" customWidth="1"/>
    <col min="10237" max="10237" width="4.625" style="10" customWidth="1"/>
    <col min="10238" max="10238" width="9.375" style="10" customWidth="1"/>
    <col min="10239" max="10239" width="1.375" style="10" customWidth="1"/>
    <col min="10240" max="10480" width="9" style="10"/>
    <col min="10481" max="10481" width="1.25" style="10" customWidth="1"/>
    <col min="10482" max="10482" width="7.25" style="10" customWidth="1"/>
    <col min="10483" max="10483" width="11.25" style="10" bestFit="1" customWidth="1"/>
    <col min="10484" max="10484" width="8.5" style="10" customWidth="1"/>
    <col min="10485" max="10485" width="17.375" style="10" customWidth="1"/>
    <col min="10486" max="10486" width="2.875" style="10" customWidth="1"/>
    <col min="10487" max="10487" width="4.25" style="10" customWidth="1"/>
    <col min="10488" max="10488" width="8.25" style="10" customWidth="1"/>
    <col min="10489" max="10489" width="4.625" style="10" customWidth="1"/>
    <col min="10490" max="10490" width="4.125" style="10" customWidth="1"/>
    <col min="10491" max="10491" width="8.625" style="10" customWidth="1"/>
    <col min="10492" max="10492" width="4.125" style="10" customWidth="1"/>
    <col min="10493" max="10493" width="4.625" style="10" customWidth="1"/>
    <col min="10494" max="10494" width="9.375" style="10" customWidth="1"/>
    <col min="10495" max="10495" width="1.375" style="10" customWidth="1"/>
    <col min="10496" max="10736" width="9" style="10"/>
    <col min="10737" max="10737" width="1.25" style="10" customWidth="1"/>
    <col min="10738" max="10738" width="7.25" style="10" customWidth="1"/>
    <col min="10739" max="10739" width="11.25" style="10" bestFit="1" customWidth="1"/>
    <col min="10740" max="10740" width="8.5" style="10" customWidth="1"/>
    <col min="10741" max="10741" width="17.375" style="10" customWidth="1"/>
    <col min="10742" max="10742" width="2.875" style="10" customWidth="1"/>
    <col min="10743" max="10743" width="4.25" style="10" customWidth="1"/>
    <col min="10744" max="10744" width="8.25" style="10" customWidth="1"/>
    <col min="10745" max="10745" width="4.625" style="10" customWidth="1"/>
    <col min="10746" max="10746" width="4.125" style="10" customWidth="1"/>
    <col min="10747" max="10747" width="8.625" style="10" customWidth="1"/>
    <col min="10748" max="10748" width="4.125" style="10" customWidth="1"/>
    <col min="10749" max="10749" width="4.625" style="10" customWidth="1"/>
    <col min="10750" max="10750" width="9.375" style="10" customWidth="1"/>
    <col min="10751" max="10751" width="1.375" style="10" customWidth="1"/>
    <col min="10752" max="10992" width="9" style="10"/>
    <col min="10993" max="10993" width="1.25" style="10" customWidth="1"/>
    <col min="10994" max="10994" width="7.25" style="10" customWidth="1"/>
    <col min="10995" max="10995" width="11.25" style="10" bestFit="1" customWidth="1"/>
    <col min="10996" max="10996" width="8.5" style="10" customWidth="1"/>
    <col min="10997" max="10997" width="17.375" style="10" customWidth="1"/>
    <col min="10998" max="10998" width="2.875" style="10" customWidth="1"/>
    <col min="10999" max="10999" width="4.25" style="10" customWidth="1"/>
    <col min="11000" max="11000" width="8.25" style="10" customWidth="1"/>
    <col min="11001" max="11001" width="4.625" style="10" customWidth="1"/>
    <col min="11002" max="11002" width="4.125" style="10" customWidth="1"/>
    <col min="11003" max="11003" width="8.625" style="10" customWidth="1"/>
    <col min="11004" max="11004" width="4.125" style="10" customWidth="1"/>
    <col min="11005" max="11005" width="4.625" style="10" customWidth="1"/>
    <col min="11006" max="11006" width="9.375" style="10" customWidth="1"/>
    <col min="11007" max="11007" width="1.375" style="10" customWidth="1"/>
    <col min="11008" max="11248" width="9" style="10"/>
    <col min="11249" max="11249" width="1.25" style="10" customWidth="1"/>
    <col min="11250" max="11250" width="7.25" style="10" customWidth="1"/>
    <col min="11251" max="11251" width="11.25" style="10" bestFit="1" customWidth="1"/>
    <col min="11252" max="11252" width="8.5" style="10" customWidth="1"/>
    <col min="11253" max="11253" width="17.375" style="10" customWidth="1"/>
    <col min="11254" max="11254" width="2.875" style="10" customWidth="1"/>
    <col min="11255" max="11255" width="4.25" style="10" customWidth="1"/>
    <col min="11256" max="11256" width="8.25" style="10" customWidth="1"/>
    <col min="11257" max="11257" width="4.625" style="10" customWidth="1"/>
    <col min="11258" max="11258" width="4.125" style="10" customWidth="1"/>
    <col min="11259" max="11259" width="8.625" style="10" customWidth="1"/>
    <col min="11260" max="11260" width="4.125" style="10" customWidth="1"/>
    <col min="11261" max="11261" width="4.625" style="10" customWidth="1"/>
    <col min="11262" max="11262" width="9.375" style="10" customWidth="1"/>
    <col min="11263" max="11263" width="1.375" style="10" customWidth="1"/>
    <col min="11264" max="11504" width="9" style="10"/>
    <col min="11505" max="11505" width="1.25" style="10" customWidth="1"/>
    <col min="11506" max="11506" width="7.25" style="10" customWidth="1"/>
    <col min="11507" max="11507" width="11.25" style="10" bestFit="1" customWidth="1"/>
    <col min="11508" max="11508" width="8.5" style="10" customWidth="1"/>
    <col min="11509" max="11509" width="17.375" style="10" customWidth="1"/>
    <col min="11510" max="11510" width="2.875" style="10" customWidth="1"/>
    <col min="11511" max="11511" width="4.25" style="10" customWidth="1"/>
    <col min="11512" max="11512" width="8.25" style="10" customWidth="1"/>
    <col min="11513" max="11513" width="4.625" style="10" customWidth="1"/>
    <col min="11514" max="11514" width="4.125" style="10" customWidth="1"/>
    <col min="11515" max="11515" width="8.625" style="10" customWidth="1"/>
    <col min="11516" max="11516" width="4.125" style="10" customWidth="1"/>
    <col min="11517" max="11517" width="4.625" style="10" customWidth="1"/>
    <col min="11518" max="11518" width="9.375" style="10" customWidth="1"/>
    <col min="11519" max="11519" width="1.375" style="10" customWidth="1"/>
    <col min="11520" max="11760" width="9" style="10"/>
    <col min="11761" max="11761" width="1.25" style="10" customWidth="1"/>
    <col min="11762" max="11762" width="7.25" style="10" customWidth="1"/>
    <col min="11763" max="11763" width="11.25" style="10" bestFit="1" customWidth="1"/>
    <col min="11764" max="11764" width="8.5" style="10" customWidth="1"/>
    <col min="11765" max="11765" width="17.375" style="10" customWidth="1"/>
    <col min="11766" max="11766" width="2.875" style="10" customWidth="1"/>
    <col min="11767" max="11767" width="4.25" style="10" customWidth="1"/>
    <col min="11768" max="11768" width="8.25" style="10" customWidth="1"/>
    <col min="11769" max="11769" width="4.625" style="10" customWidth="1"/>
    <col min="11770" max="11770" width="4.125" style="10" customWidth="1"/>
    <col min="11771" max="11771" width="8.625" style="10" customWidth="1"/>
    <col min="11772" max="11772" width="4.125" style="10" customWidth="1"/>
    <col min="11773" max="11773" width="4.625" style="10" customWidth="1"/>
    <col min="11774" max="11774" width="9.375" style="10" customWidth="1"/>
    <col min="11775" max="11775" width="1.375" style="10" customWidth="1"/>
    <col min="11776" max="12016" width="9" style="10"/>
    <col min="12017" max="12017" width="1.25" style="10" customWidth="1"/>
    <col min="12018" max="12018" width="7.25" style="10" customWidth="1"/>
    <col min="12019" max="12019" width="11.25" style="10" bestFit="1" customWidth="1"/>
    <col min="12020" max="12020" width="8.5" style="10" customWidth="1"/>
    <col min="12021" max="12021" width="17.375" style="10" customWidth="1"/>
    <col min="12022" max="12022" width="2.875" style="10" customWidth="1"/>
    <col min="12023" max="12023" width="4.25" style="10" customWidth="1"/>
    <col min="12024" max="12024" width="8.25" style="10" customWidth="1"/>
    <col min="12025" max="12025" width="4.625" style="10" customWidth="1"/>
    <col min="12026" max="12026" width="4.125" style="10" customWidth="1"/>
    <col min="12027" max="12027" width="8.625" style="10" customWidth="1"/>
    <col min="12028" max="12028" width="4.125" style="10" customWidth="1"/>
    <col min="12029" max="12029" width="4.625" style="10" customWidth="1"/>
    <col min="12030" max="12030" width="9.375" style="10" customWidth="1"/>
    <col min="12031" max="12031" width="1.375" style="10" customWidth="1"/>
    <col min="12032" max="12272" width="9" style="10"/>
    <col min="12273" max="12273" width="1.25" style="10" customWidth="1"/>
    <col min="12274" max="12274" width="7.25" style="10" customWidth="1"/>
    <col min="12275" max="12275" width="11.25" style="10" bestFit="1" customWidth="1"/>
    <col min="12276" max="12276" width="8.5" style="10" customWidth="1"/>
    <col min="12277" max="12277" width="17.375" style="10" customWidth="1"/>
    <col min="12278" max="12278" width="2.875" style="10" customWidth="1"/>
    <col min="12279" max="12279" width="4.25" style="10" customWidth="1"/>
    <col min="12280" max="12280" width="8.25" style="10" customWidth="1"/>
    <col min="12281" max="12281" width="4.625" style="10" customWidth="1"/>
    <col min="12282" max="12282" width="4.125" style="10" customWidth="1"/>
    <col min="12283" max="12283" width="8.625" style="10" customWidth="1"/>
    <col min="12284" max="12284" width="4.125" style="10" customWidth="1"/>
    <col min="12285" max="12285" width="4.625" style="10" customWidth="1"/>
    <col min="12286" max="12286" width="9.375" style="10" customWidth="1"/>
    <col min="12287" max="12287" width="1.375" style="10" customWidth="1"/>
    <col min="12288" max="12528" width="9" style="10"/>
    <col min="12529" max="12529" width="1.25" style="10" customWidth="1"/>
    <col min="12530" max="12530" width="7.25" style="10" customWidth="1"/>
    <col min="12531" max="12531" width="11.25" style="10" bestFit="1" customWidth="1"/>
    <col min="12532" max="12532" width="8.5" style="10" customWidth="1"/>
    <col min="12533" max="12533" width="17.375" style="10" customWidth="1"/>
    <col min="12534" max="12534" width="2.875" style="10" customWidth="1"/>
    <col min="12535" max="12535" width="4.25" style="10" customWidth="1"/>
    <col min="12536" max="12536" width="8.25" style="10" customWidth="1"/>
    <col min="12537" max="12537" width="4.625" style="10" customWidth="1"/>
    <col min="12538" max="12538" width="4.125" style="10" customWidth="1"/>
    <col min="12539" max="12539" width="8.625" style="10" customWidth="1"/>
    <col min="12540" max="12540" width="4.125" style="10" customWidth="1"/>
    <col min="12541" max="12541" width="4.625" style="10" customWidth="1"/>
    <col min="12542" max="12542" width="9.375" style="10" customWidth="1"/>
    <col min="12543" max="12543" width="1.375" style="10" customWidth="1"/>
    <col min="12544" max="12784" width="9" style="10"/>
    <col min="12785" max="12785" width="1.25" style="10" customWidth="1"/>
    <col min="12786" max="12786" width="7.25" style="10" customWidth="1"/>
    <col min="12787" max="12787" width="11.25" style="10" bestFit="1" customWidth="1"/>
    <col min="12788" max="12788" width="8.5" style="10" customWidth="1"/>
    <col min="12789" max="12789" width="17.375" style="10" customWidth="1"/>
    <col min="12790" max="12790" width="2.875" style="10" customWidth="1"/>
    <col min="12791" max="12791" width="4.25" style="10" customWidth="1"/>
    <col min="12792" max="12792" width="8.25" style="10" customWidth="1"/>
    <col min="12793" max="12793" width="4.625" style="10" customWidth="1"/>
    <col min="12794" max="12794" width="4.125" style="10" customWidth="1"/>
    <col min="12795" max="12795" width="8.625" style="10" customWidth="1"/>
    <col min="12796" max="12796" width="4.125" style="10" customWidth="1"/>
    <col min="12797" max="12797" width="4.625" style="10" customWidth="1"/>
    <col min="12798" max="12798" width="9.375" style="10" customWidth="1"/>
    <col min="12799" max="12799" width="1.375" style="10" customWidth="1"/>
    <col min="12800" max="13040" width="9" style="10"/>
    <col min="13041" max="13041" width="1.25" style="10" customWidth="1"/>
    <col min="13042" max="13042" width="7.25" style="10" customWidth="1"/>
    <col min="13043" max="13043" width="11.25" style="10" bestFit="1" customWidth="1"/>
    <col min="13044" max="13044" width="8.5" style="10" customWidth="1"/>
    <col min="13045" max="13045" width="17.375" style="10" customWidth="1"/>
    <col min="13046" max="13046" width="2.875" style="10" customWidth="1"/>
    <col min="13047" max="13047" width="4.25" style="10" customWidth="1"/>
    <col min="13048" max="13048" width="8.25" style="10" customWidth="1"/>
    <col min="13049" max="13049" width="4.625" style="10" customWidth="1"/>
    <col min="13050" max="13050" width="4.125" style="10" customWidth="1"/>
    <col min="13051" max="13051" width="8.625" style="10" customWidth="1"/>
    <col min="13052" max="13052" width="4.125" style="10" customWidth="1"/>
    <col min="13053" max="13053" width="4.625" style="10" customWidth="1"/>
    <col min="13054" max="13054" width="9.375" style="10" customWidth="1"/>
    <col min="13055" max="13055" width="1.375" style="10" customWidth="1"/>
    <col min="13056" max="13296" width="9" style="10"/>
    <col min="13297" max="13297" width="1.25" style="10" customWidth="1"/>
    <col min="13298" max="13298" width="7.25" style="10" customWidth="1"/>
    <col min="13299" max="13299" width="11.25" style="10" bestFit="1" customWidth="1"/>
    <col min="13300" max="13300" width="8.5" style="10" customWidth="1"/>
    <col min="13301" max="13301" width="17.375" style="10" customWidth="1"/>
    <col min="13302" max="13302" width="2.875" style="10" customWidth="1"/>
    <col min="13303" max="13303" width="4.25" style="10" customWidth="1"/>
    <col min="13304" max="13304" width="8.25" style="10" customWidth="1"/>
    <col min="13305" max="13305" width="4.625" style="10" customWidth="1"/>
    <col min="13306" max="13306" width="4.125" style="10" customWidth="1"/>
    <col min="13307" max="13307" width="8.625" style="10" customWidth="1"/>
    <col min="13308" max="13308" width="4.125" style="10" customWidth="1"/>
    <col min="13309" max="13309" width="4.625" style="10" customWidth="1"/>
    <col min="13310" max="13310" width="9.375" style="10" customWidth="1"/>
    <col min="13311" max="13311" width="1.375" style="10" customWidth="1"/>
    <col min="13312" max="13552" width="9" style="10"/>
    <col min="13553" max="13553" width="1.25" style="10" customWidth="1"/>
    <col min="13554" max="13554" width="7.25" style="10" customWidth="1"/>
    <col min="13555" max="13555" width="11.25" style="10" bestFit="1" customWidth="1"/>
    <col min="13556" max="13556" width="8.5" style="10" customWidth="1"/>
    <col min="13557" max="13557" width="17.375" style="10" customWidth="1"/>
    <col min="13558" max="13558" width="2.875" style="10" customWidth="1"/>
    <col min="13559" max="13559" width="4.25" style="10" customWidth="1"/>
    <col min="13560" max="13560" width="8.25" style="10" customWidth="1"/>
    <col min="13561" max="13561" width="4.625" style="10" customWidth="1"/>
    <col min="13562" max="13562" width="4.125" style="10" customWidth="1"/>
    <col min="13563" max="13563" width="8.625" style="10" customWidth="1"/>
    <col min="13564" max="13564" width="4.125" style="10" customWidth="1"/>
    <col min="13565" max="13565" width="4.625" style="10" customWidth="1"/>
    <col min="13566" max="13566" width="9.375" style="10" customWidth="1"/>
    <col min="13567" max="13567" width="1.375" style="10" customWidth="1"/>
    <col min="13568" max="13808" width="9" style="10"/>
    <col min="13809" max="13809" width="1.25" style="10" customWidth="1"/>
    <col min="13810" max="13810" width="7.25" style="10" customWidth="1"/>
    <col min="13811" max="13811" width="11.25" style="10" bestFit="1" customWidth="1"/>
    <col min="13812" max="13812" width="8.5" style="10" customWidth="1"/>
    <col min="13813" max="13813" width="17.375" style="10" customWidth="1"/>
    <col min="13814" max="13814" width="2.875" style="10" customWidth="1"/>
    <col min="13815" max="13815" width="4.25" style="10" customWidth="1"/>
    <col min="13816" max="13816" width="8.25" style="10" customWidth="1"/>
    <col min="13817" max="13817" width="4.625" style="10" customWidth="1"/>
    <col min="13818" max="13818" width="4.125" style="10" customWidth="1"/>
    <col min="13819" max="13819" width="8.625" style="10" customWidth="1"/>
    <col min="13820" max="13820" width="4.125" style="10" customWidth="1"/>
    <col min="13821" max="13821" width="4.625" style="10" customWidth="1"/>
    <col min="13822" max="13822" width="9.375" style="10" customWidth="1"/>
    <col min="13823" max="13823" width="1.375" style="10" customWidth="1"/>
    <col min="13824" max="14064" width="9" style="10"/>
    <col min="14065" max="14065" width="1.25" style="10" customWidth="1"/>
    <col min="14066" max="14066" width="7.25" style="10" customWidth="1"/>
    <col min="14067" max="14067" width="11.25" style="10" bestFit="1" customWidth="1"/>
    <col min="14068" max="14068" width="8.5" style="10" customWidth="1"/>
    <col min="14069" max="14069" width="17.375" style="10" customWidth="1"/>
    <col min="14070" max="14070" width="2.875" style="10" customWidth="1"/>
    <col min="14071" max="14071" width="4.25" style="10" customWidth="1"/>
    <col min="14072" max="14072" width="8.25" style="10" customWidth="1"/>
    <col min="14073" max="14073" width="4.625" style="10" customWidth="1"/>
    <col min="14074" max="14074" width="4.125" style="10" customWidth="1"/>
    <col min="14075" max="14075" width="8.625" style="10" customWidth="1"/>
    <col min="14076" max="14076" width="4.125" style="10" customWidth="1"/>
    <col min="14077" max="14077" width="4.625" style="10" customWidth="1"/>
    <col min="14078" max="14078" width="9.375" style="10" customWidth="1"/>
    <col min="14079" max="14079" width="1.375" style="10" customWidth="1"/>
    <col min="14080" max="14320" width="9" style="10"/>
    <col min="14321" max="14321" width="1.25" style="10" customWidth="1"/>
    <col min="14322" max="14322" width="7.25" style="10" customWidth="1"/>
    <col min="14323" max="14323" width="11.25" style="10" bestFit="1" customWidth="1"/>
    <col min="14324" max="14324" width="8.5" style="10" customWidth="1"/>
    <col min="14325" max="14325" width="17.375" style="10" customWidth="1"/>
    <col min="14326" max="14326" width="2.875" style="10" customWidth="1"/>
    <col min="14327" max="14327" width="4.25" style="10" customWidth="1"/>
    <col min="14328" max="14328" width="8.25" style="10" customWidth="1"/>
    <col min="14329" max="14329" width="4.625" style="10" customWidth="1"/>
    <col min="14330" max="14330" width="4.125" style="10" customWidth="1"/>
    <col min="14331" max="14331" width="8.625" style="10" customWidth="1"/>
    <col min="14332" max="14332" width="4.125" style="10" customWidth="1"/>
    <col min="14333" max="14333" width="4.625" style="10" customWidth="1"/>
    <col min="14334" max="14334" width="9.375" style="10" customWidth="1"/>
    <col min="14335" max="14335" width="1.375" style="10" customWidth="1"/>
    <col min="14336" max="14576" width="9" style="10"/>
    <col min="14577" max="14577" width="1.25" style="10" customWidth="1"/>
    <col min="14578" max="14578" width="7.25" style="10" customWidth="1"/>
    <col min="14579" max="14579" width="11.25" style="10" bestFit="1" customWidth="1"/>
    <col min="14580" max="14580" width="8.5" style="10" customWidth="1"/>
    <col min="14581" max="14581" width="17.375" style="10" customWidth="1"/>
    <col min="14582" max="14582" width="2.875" style="10" customWidth="1"/>
    <col min="14583" max="14583" width="4.25" style="10" customWidth="1"/>
    <col min="14584" max="14584" width="8.25" style="10" customWidth="1"/>
    <col min="14585" max="14585" width="4.625" style="10" customWidth="1"/>
    <col min="14586" max="14586" width="4.125" style="10" customWidth="1"/>
    <col min="14587" max="14587" width="8.625" style="10" customWidth="1"/>
    <col min="14588" max="14588" width="4.125" style="10" customWidth="1"/>
    <col min="14589" max="14589" width="4.625" style="10" customWidth="1"/>
    <col min="14590" max="14590" width="9.375" style="10" customWidth="1"/>
    <col min="14591" max="14591" width="1.375" style="10" customWidth="1"/>
    <col min="14592" max="14832" width="9" style="10"/>
    <col min="14833" max="14833" width="1.25" style="10" customWidth="1"/>
    <col min="14834" max="14834" width="7.25" style="10" customWidth="1"/>
    <col min="14835" max="14835" width="11.25" style="10" bestFit="1" customWidth="1"/>
    <col min="14836" max="14836" width="8.5" style="10" customWidth="1"/>
    <col min="14837" max="14837" width="17.375" style="10" customWidth="1"/>
    <col min="14838" max="14838" width="2.875" style="10" customWidth="1"/>
    <col min="14839" max="14839" width="4.25" style="10" customWidth="1"/>
    <col min="14840" max="14840" width="8.25" style="10" customWidth="1"/>
    <col min="14841" max="14841" width="4.625" style="10" customWidth="1"/>
    <col min="14842" max="14842" width="4.125" style="10" customWidth="1"/>
    <col min="14843" max="14843" width="8.625" style="10" customWidth="1"/>
    <col min="14844" max="14844" width="4.125" style="10" customWidth="1"/>
    <col min="14845" max="14845" width="4.625" style="10" customWidth="1"/>
    <col min="14846" max="14846" width="9.375" style="10" customWidth="1"/>
    <col min="14847" max="14847" width="1.375" style="10" customWidth="1"/>
    <col min="14848" max="15088" width="9" style="10"/>
    <col min="15089" max="15089" width="1.25" style="10" customWidth="1"/>
    <col min="15090" max="15090" width="7.25" style="10" customWidth="1"/>
    <col min="15091" max="15091" width="11.25" style="10" bestFit="1" customWidth="1"/>
    <col min="15092" max="15092" width="8.5" style="10" customWidth="1"/>
    <col min="15093" max="15093" width="17.375" style="10" customWidth="1"/>
    <col min="15094" max="15094" width="2.875" style="10" customWidth="1"/>
    <col min="15095" max="15095" width="4.25" style="10" customWidth="1"/>
    <col min="15096" max="15096" width="8.25" style="10" customWidth="1"/>
    <col min="15097" max="15097" width="4.625" style="10" customWidth="1"/>
    <col min="15098" max="15098" width="4.125" style="10" customWidth="1"/>
    <col min="15099" max="15099" width="8.625" style="10" customWidth="1"/>
    <col min="15100" max="15100" width="4.125" style="10" customWidth="1"/>
    <col min="15101" max="15101" width="4.625" style="10" customWidth="1"/>
    <col min="15102" max="15102" width="9.375" style="10" customWidth="1"/>
    <col min="15103" max="15103" width="1.375" style="10" customWidth="1"/>
    <col min="15104" max="15344" width="9" style="10"/>
    <col min="15345" max="15345" width="1.25" style="10" customWidth="1"/>
    <col min="15346" max="15346" width="7.25" style="10" customWidth="1"/>
    <col min="15347" max="15347" width="11.25" style="10" bestFit="1" customWidth="1"/>
    <col min="15348" max="15348" width="8.5" style="10" customWidth="1"/>
    <col min="15349" max="15349" width="17.375" style="10" customWidth="1"/>
    <col min="15350" max="15350" width="2.875" style="10" customWidth="1"/>
    <col min="15351" max="15351" width="4.25" style="10" customWidth="1"/>
    <col min="15352" max="15352" width="8.25" style="10" customWidth="1"/>
    <col min="15353" max="15353" width="4.625" style="10" customWidth="1"/>
    <col min="15354" max="15354" width="4.125" style="10" customWidth="1"/>
    <col min="15355" max="15355" width="8.625" style="10" customWidth="1"/>
    <col min="15356" max="15356" width="4.125" style="10" customWidth="1"/>
    <col min="15357" max="15357" width="4.625" style="10" customWidth="1"/>
    <col min="15358" max="15358" width="9.375" style="10" customWidth="1"/>
    <col min="15359" max="15359" width="1.375" style="10" customWidth="1"/>
    <col min="15360" max="15600" width="9" style="10"/>
    <col min="15601" max="15601" width="1.25" style="10" customWidth="1"/>
    <col min="15602" max="15602" width="7.25" style="10" customWidth="1"/>
    <col min="15603" max="15603" width="11.25" style="10" bestFit="1" customWidth="1"/>
    <col min="15604" max="15604" width="8.5" style="10" customWidth="1"/>
    <col min="15605" max="15605" width="17.375" style="10" customWidth="1"/>
    <col min="15606" max="15606" width="2.875" style="10" customWidth="1"/>
    <col min="15607" max="15607" width="4.25" style="10" customWidth="1"/>
    <col min="15608" max="15608" width="8.25" style="10" customWidth="1"/>
    <col min="15609" max="15609" width="4.625" style="10" customWidth="1"/>
    <col min="15610" max="15610" width="4.125" style="10" customWidth="1"/>
    <col min="15611" max="15611" width="8.625" style="10" customWidth="1"/>
    <col min="15612" max="15612" width="4.125" style="10" customWidth="1"/>
    <col min="15613" max="15613" width="4.625" style="10" customWidth="1"/>
    <col min="15614" max="15614" width="9.375" style="10" customWidth="1"/>
    <col min="15615" max="15615" width="1.375" style="10" customWidth="1"/>
    <col min="15616" max="15856" width="9" style="10"/>
    <col min="15857" max="15857" width="1.25" style="10" customWidth="1"/>
    <col min="15858" max="15858" width="7.25" style="10" customWidth="1"/>
    <col min="15859" max="15859" width="11.25" style="10" bestFit="1" customWidth="1"/>
    <col min="15860" max="15860" width="8.5" style="10" customWidth="1"/>
    <col min="15861" max="15861" width="17.375" style="10" customWidth="1"/>
    <col min="15862" max="15862" width="2.875" style="10" customWidth="1"/>
    <col min="15863" max="15863" width="4.25" style="10" customWidth="1"/>
    <col min="15864" max="15864" width="8.25" style="10" customWidth="1"/>
    <col min="15865" max="15865" width="4.625" style="10" customWidth="1"/>
    <col min="15866" max="15866" width="4.125" style="10" customWidth="1"/>
    <col min="15867" max="15867" width="8.625" style="10" customWidth="1"/>
    <col min="15868" max="15868" width="4.125" style="10" customWidth="1"/>
    <col min="15869" max="15869" width="4.625" style="10" customWidth="1"/>
    <col min="15870" max="15870" width="9.375" style="10" customWidth="1"/>
    <col min="15871" max="15871" width="1.375" style="10" customWidth="1"/>
    <col min="15872" max="16112" width="9" style="10"/>
    <col min="16113" max="16113" width="1.25" style="10" customWidth="1"/>
    <col min="16114" max="16114" width="7.25" style="10" customWidth="1"/>
    <col min="16115" max="16115" width="11.25" style="10" bestFit="1" customWidth="1"/>
    <col min="16116" max="16116" width="8.5" style="10" customWidth="1"/>
    <col min="16117" max="16117" width="17.375" style="10" customWidth="1"/>
    <col min="16118" max="16118" width="2.875" style="10" customWidth="1"/>
    <col min="16119" max="16119" width="4.25" style="10" customWidth="1"/>
    <col min="16120" max="16120" width="8.25" style="10" customWidth="1"/>
    <col min="16121" max="16121" width="4.625" style="10" customWidth="1"/>
    <col min="16122" max="16122" width="4.125" style="10" customWidth="1"/>
    <col min="16123" max="16123" width="8.625" style="10" customWidth="1"/>
    <col min="16124" max="16124" width="4.125" style="10" customWidth="1"/>
    <col min="16125" max="16125" width="4.625" style="10" customWidth="1"/>
    <col min="16126" max="16126" width="9.375" style="10" customWidth="1"/>
    <col min="16127" max="16127" width="1.375" style="10" customWidth="1"/>
    <col min="16128" max="16384" width="9" style="10"/>
  </cols>
  <sheetData>
    <row r="1" spans="1:22" s="5" customFormat="1" ht="15" customHeight="1" x14ac:dyDescent="0.25">
      <c r="A1" s="3"/>
      <c r="B1" s="4"/>
      <c r="C1" s="4"/>
      <c r="D1" s="4"/>
      <c r="E1" s="4"/>
      <c r="F1" s="4"/>
      <c r="G1" s="4"/>
      <c r="H1" s="4"/>
      <c r="I1" s="4"/>
      <c r="J1" s="4"/>
      <c r="K1" s="4"/>
      <c r="L1" s="44"/>
      <c r="M1" s="44"/>
      <c r="N1" s="4"/>
      <c r="O1" s="4"/>
      <c r="P1" s="4"/>
      <c r="Q1" s="14"/>
      <c r="R1" s="14"/>
      <c r="S1" s="4"/>
    </row>
    <row r="2" spans="1:22" s="5" customFormat="1" ht="23.45" customHeight="1" x14ac:dyDescent="0.25">
      <c r="A2" s="6"/>
      <c r="C2" s="77">
        <v>2</v>
      </c>
      <c r="D2" s="77"/>
      <c r="E2" s="77"/>
      <c r="F2" s="77"/>
      <c r="G2" s="77"/>
      <c r="H2" s="77"/>
      <c r="I2" s="77"/>
      <c r="J2" s="77"/>
      <c r="K2" s="77"/>
      <c r="L2" s="46"/>
      <c r="M2" s="46"/>
      <c r="N2" s="31"/>
      <c r="O2" s="19"/>
      <c r="P2" s="19"/>
      <c r="Q2" s="20"/>
      <c r="R2" s="7"/>
    </row>
    <row r="3" spans="1:22" s="5" customFormat="1" ht="23.45" customHeight="1" x14ac:dyDescent="0.25">
      <c r="A3" s="6"/>
      <c r="C3" s="77"/>
      <c r="D3" s="77"/>
      <c r="E3" s="77"/>
      <c r="F3" s="77"/>
      <c r="G3" s="77"/>
      <c r="H3" s="77"/>
      <c r="I3" s="77"/>
      <c r="J3" s="77"/>
      <c r="K3" s="77"/>
      <c r="L3" s="46"/>
      <c r="M3" s="46"/>
      <c r="N3" s="31"/>
      <c r="O3" s="19"/>
      <c r="P3" s="19"/>
      <c r="Q3" s="20"/>
      <c r="S3" s="78" t="s">
        <v>0</v>
      </c>
      <c r="T3" s="78"/>
      <c r="U3" s="78"/>
    </row>
    <row r="4" spans="1:22" s="5" customFormat="1" ht="16.5" customHeight="1" x14ac:dyDescent="0.25">
      <c r="A4" s="6"/>
      <c r="C4" s="7"/>
      <c r="D4" s="7"/>
      <c r="E4" s="7"/>
      <c r="F4" s="7"/>
      <c r="G4" s="7"/>
      <c r="H4" s="7"/>
      <c r="I4" s="7"/>
      <c r="J4" s="7"/>
      <c r="K4" s="7"/>
      <c r="L4" s="47"/>
      <c r="M4" s="47"/>
      <c r="N4" s="7"/>
      <c r="O4" s="7"/>
      <c r="P4" s="7"/>
      <c r="Q4" s="7"/>
      <c r="S4" s="13" t="s">
        <v>1</v>
      </c>
      <c r="T4" s="13" t="s">
        <v>7</v>
      </c>
      <c r="U4" s="13" t="s">
        <v>12</v>
      </c>
    </row>
    <row r="5" spans="1:22" s="5" customFormat="1" ht="16.5" customHeight="1" x14ac:dyDescent="0.25">
      <c r="A5" s="6"/>
      <c r="C5" s="8"/>
      <c r="D5" s="8"/>
      <c r="E5" s="8"/>
      <c r="F5" s="8"/>
      <c r="G5" s="8"/>
      <c r="H5" s="8"/>
      <c r="I5" s="8"/>
      <c r="J5" s="8"/>
      <c r="K5" s="8"/>
      <c r="L5" s="47"/>
      <c r="M5" s="47"/>
      <c r="N5" s="8"/>
      <c r="O5" s="8"/>
      <c r="P5" s="8"/>
      <c r="Q5" s="7"/>
      <c r="S5" s="79"/>
      <c r="T5" s="79"/>
      <c r="U5" s="79"/>
    </row>
    <row r="6" spans="1:22" s="5" customFormat="1" ht="23.45" customHeight="1" x14ac:dyDescent="0.25">
      <c r="A6" s="6"/>
      <c r="C6" s="9" t="s">
        <v>17</v>
      </c>
      <c r="D6" s="1">
        <f ca="1">TODAY()</f>
        <v>46077</v>
      </c>
      <c r="E6" s="21"/>
      <c r="F6" s="21"/>
      <c r="G6" s="21"/>
      <c r="H6" s="21"/>
      <c r="I6" s="8"/>
      <c r="J6" s="8"/>
      <c r="K6" s="8"/>
      <c r="L6" s="47"/>
      <c r="M6" s="47"/>
      <c r="N6" s="8"/>
      <c r="O6" s="8"/>
      <c r="P6" s="8"/>
      <c r="Q6" s="7"/>
      <c r="S6" s="80"/>
      <c r="T6" s="80"/>
      <c r="U6" s="80"/>
    </row>
    <row r="7" spans="1:22" s="5" customFormat="1" ht="23.45" customHeight="1" x14ac:dyDescent="0.25">
      <c r="A7" s="6"/>
      <c r="C7" s="22" t="s">
        <v>13</v>
      </c>
      <c r="D7" s="2" t="s">
        <v>51</v>
      </c>
      <c r="E7" s="23"/>
      <c r="F7" s="23"/>
      <c r="G7" s="23"/>
      <c r="H7" s="23"/>
      <c r="I7" s="8"/>
      <c r="J7" s="8"/>
      <c r="K7" s="8"/>
      <c r="L7" s="47"/>
      <c r="M7" s="47"/>
      <c r="N7" s="8"/>
      <c r="O7" s="8"/>
      <c r="P7" s="8"/>
      <c r="Q7" s="7"/>
      <c r="S7" s="81"/>
      <c r="T7" s="81"/>
      <c r="U7" s="81"/>
    </row>
    <row r="8" spans="1:22" s="5" customFormat="1" ht="23.45" customHeight="1" x14ac:dyDescent="0.25">
      <c r="A8" s="6"/>
      <c r="C8" s="9" t="s">
        <v>2</v>
      </c>
      <c r="D8" s="2"/>
      <c r="E8" s="23"/>
      <c r="F8" s="23"/>
      <c r="G8" s="23"/>
      <c r="H8" s="23"/>
      <c r="I8" s="8"/>
      <c r="J8" s="8"/>
      <c r="K8" s="8"/>
      <c r="L8" s="47"/>
      <c r="M8" s="47"/>
      <c r="N8" s="8"/>
      <c r="O8" s="8"/>
      <c r="P8" s="8"/>
      <c r="Q8" s="7"/>
      <c r="R8" s="7"/>
    </row>
    <row r="9" spans="1:22" s="5" customFormat="1" ht="15" customHeight="1" thickBot="1" x14ac:dyDescent="0.3">
      <c r="A9" s="6"/>
      <c r="L9" s="45"/>
      <c r="M9" s="45"/>
      <c r="Q9" s="15"/>
      <c r="R9" s="15"/>
    </row>
    <row r="10" spans="1:22" s="5" customFormat="1" ht="20.100000000000001" customHeight="1" x14ac:dyDescent="0.25">
      <c r="A10" s="6"/>
      <c r="L10" s="45"/>
      <c r="M10" s="45"/>
      <c r="Q10" s="15"/>
      <c r="R10" s="15"/>
      <c r="S10" s="99" t="s">
        <v>47</v>
      </c>
      <c r="T10" s="100"/>
    </row>
    <row r="11" spans="1:22" s="5" customFormat="1" ht="20.100000000000001" customHeight="1" x14ac:dyDescent="0.25">
      <c r="L11" s="45"/>
      <c r="M11" s="45"/>
      <c r="Q11" s="15"/>
      <c r="R11" s="15"/>
      <c r="S11" s="24" t="s">
        <v>26</v>
      </c>
      <c r="T11" s="25" t="s">
        <v>27</v>
      </c>
    </row>
    <row r="12" spans="1:22" ht="24.75" customHeight="1" thickBot="1" x14ac:dyDescent="0.3">
      <c r="B12" s="5"/>
      <c r="C12" s="5"/>
      <c r="D12" s="5"/>
      <c r="E12" s="5"/>
      <c r="F12" s="5"/>
      <c r="G12" s="5"/>
      <c r="H12" s="5"/>
      <c r="I12" s="5"/>
      <c r="J12" s="5"/>
      <c r="K12" s="5"/>
      <c r="L12" s="45"/>
      <c r="M12" s="45"/>
      <c r="N12" s="5"/>
      <c r="O12" s="5"/>
      <c r="P12" s="5"/>
      <c r="Q12" s="5"/>
      <c r="R12" s="5"/>
      <c r="S12" s="51">
        <f>SUM(S17:S47)</f>
        <v>0</v>
      </c>
      <c r="T12" s="52">
        <f>SUM(T17:T47)</f>
        <v>0</v>
      </c>
    </row>
    <row r="13" spans="1:22" ht="23.25" customHeight="1" thickBot="1" x14ac:dyDescent="0.35">
      <c r="B13" s="82" t="s">
        <v>9</v>
      </c>
      <c r="C13" s="83"/>
      <c r="D13" s="83"/>
      <c r="E13" s="83"/>
      <c r="F13" s="83"/>
      <c r="G13" s="83"/>
      <c r="H13" s="83"/>
      <c r="I13" s="83"/>
      <c r="J13" s="83"/>
      <c r="K13" s="83"/>
      <c r="L13" s="83"/>
      <c r="M13" s="83"/>
      <c r="N13" s="83"/>
      <c r="O13" s="83"/>
      <c r="P13" s="83"/>
      <c r="Q13" s="83"/>
      <c r="R13" s="84"/>
      <c r="S13" s="104" t="s">
        <v>11</v>
      </c>
      <c r="T13" s="105"/>
      <c r="U13" s="105"/>
      <c r="V13" s="106"/>
    </row>
    <row r="14" spans="1:22" ht="23.25" customHeight="1" thickBot="1" x14ac:dyDescent="0.35">
      <c r="B14" s="85" t="s">
        <v>48</v>
      </c>
      <c r="C14" s="86"/>
      <c r="D14" s="86"/>
      <c r="E14" s="86"/>
      <c r="F14" s="86"/>
      <c r="G14" s="86"/>
      <c r="H14" s="86"/>
      <c r="I14" s="86"/>
      <c r="J14" s="86"/>
      <c r="K14" s="87"/>
      <c r="L14" s="92" t="s">
        <v>49</v>
      </c>
      <c r="M14" s="93"/>
      <c r="N14" s="93"/>
      <c r="O14" s="93"/>
      <c r="P14" s="94"/>
      <c r="Q14" s="94"/>
      <c r="R14" s="95"/>
      <c r="S14" s="101" t="s">
        <v>50</v>
      </c>
      <c r="T14" s="102"/>
      <c r="U14" s="102"/>
      <c r="V14" s="103"/>
    </row>
    <row r="15" spans="1:22" ht="45" customHeight="1" x14ac:dyDescent="0.3">
      <c r="B15" s="12" t="s">
        <v>4</v>
      </c>
      <c r="C15" s="12" t="s">
        <v>5</v>
      </c>
      <c r="D15" s="89" t="s">
        <v>14</v>
      </c>
      <c r="E15" s="90"/>
      <c r="F15" s="91"/>
      <c r="G15" s="26" t="s">
        <v>18</v>
      </c>
      <c r="H15" s="17" t="s">
        <v>19</v>
      </c>
      <c r="I15" s="27" t="s">
        <v>22</v>
      </c>
      <c r="J15" s="35" t="s">
        <v>23</v>
      </c>
      <c r="K15" s="33" t="s">
        <v>30</v>
      </c>
      <c r="L15" s="49" t="s">
        <v>24</v>
      </c>
      <c r="M15" s="50" t="s">
        <v>25</v>
      </c>
      <c r="N15" s="28" t="s">
        <v>15</v>
      </c>
      <c r="O15" s="36" t="s">
        <v>8</v>
      </c>
      <c r="P15" s="37" t="s">
        <v>37</v>
      </c>
      <c r="Q15" s="37" t="s">
        <v>38</v>
      </c>
      <c r="R15" s="38" t="s">
        <v>39</v>
      </c>
      <c r="S15" s="39" t="s">
        <v>20</v>
      </c>
      <c r="T15" s="40" t="s">
        <v>21</v>
      </c>
      <c r="U15" s="88" t="s">
        <v>10</v>
      </c>
      <c r="V15" s="88"/>
    </row>
    <row r="16" spans="1:22" ht="27" customHeight="1" x14ac:dyDescent="0.3">
      <c r="B16" s="11" t="s">
        <v>31</v>
      </c>
      <c r="C16" s="29" t="s">
        <v>32</v>
      </c>
      <c r="D16" s="96" t="s">
        <v>40</v>
      </c>
      <c r="E16" s="97"/>
      <c r="F16" s="98"/>
      <c r="G16" s="58" t="s">
        <v>35</v>
      </c>
      <c r="H16" s="11" t="s">
        <v>34</v>
      </c>
      <c r="I16" s="59">
        <v>0.375</v>
      </c>
      <c r="J16" s="60">
        <v>0.58333333333333337</v>
      </c>
      <c r="K16" s="41">
        <f t="shared" ref="K16" si="0">IF(AND(I16&lt;&gt;"",J16&lt;&gt;""),ROUNDDOWN((MOD(J16-I16,1)*24)*2,0)/2,"")</f>
        <v>5</v>
      </c>
      <c r="L16" s="61">
        <v>0.375</v>
      </c>
      <c r="M16" s="60">
        <v>0.54166666666666663</v>
      </c>
      <c r="N16" s="62">
        <v>1</v>
      </c>
      <c r="O16" s="59" t="s">
        <v>33</v>
      </c>
      <c r="P16" s="63" t="s">
        <v>42</v>
      </c>
      <c r="Q16" s="63">
        <v>4</v>
      </c>
      <c r="R16" s="64" t="s">
        <v>43</v>
      </c>
      <c r="S16" s="42">
        <f>IF(AND(L16&lt;&gt;"",M16&lt;&gt;""),IF(P16="입력하세요","대체휴무지급  여부 입력",ROUNDDOWN(MAX(0,((M16-L16)*24)-IF(N16&lt;&gt;"",N16,0)-IF(Q16&lt;&gt;"",Q16,0))*2,0)/2),"")</f>
        <v>0</v>
      </c>
      <c r="T16" s="43">
        <f>IF(S16&lt;&gt;"",S16,"")</f>
        <v>0</v>
      </c>
      <c r="U16" s="74"/>
      <c r="V16" s="75"/>
    </row>
    <row r="17" spans="2:22" ht="27" customHeight="1" x14ac:dyDescent="0.3">
      <c r="B17" s="11">
        <v>1</v>
      </c>
      <c r="C17" s="29">
        <f t="shared" ref="C17:C44" ca="1" si="1">DATE(YEAR($D$6),$C$2,$B17)</f>
        <v>46054</v>
      </c>
      <c r="D17" s="68"/>
      <c r="E17" s="69"/>
      <c r="F17" s="70"/>
      <c r="G17" s="18"/>
      <c r="H17" s="11" t="str">
        <f>IF(G17="","",IF(C17&lt;G17,"사후","사전"))</f>
        <v/>
      </c>
      <c r="I17" s="30"/>
      <c r="J17" s="32"/>
      <c r="K17" s="41" t="str">
        <f>IF(AND(I17&lt;&gt;"",J17&lt;&gt;""),ROUNDDOWN((MOD(J17-I17,1)*24)*2,0)/2,"")</f>
        <v/>
      </c>
      <c r="L17" s="30"/>
      <c r="M17" s="32"/>
      <c r="N17" s="66"/>
      <c r="O17" s="30"/>
      <c r="P17" s="34" t="s">
        <v>41</v>
      </c>
      <c r="Q17" s="34"/>
      <c r="R17" s="53"/>
      <c r="S17" s="42" t="str">
        <f t="shared" ref="S17:S47" si="2">IF(AND(L17&lt;&gt;"",M17&lt;&gt;""),IF(P17="입력하세요","대체휴무지급  여부 입력",ROUNDDOWN(MAX(0,((M17-L17)*24)-IF(N17&lt;&gt;"",N17,0)-IF(Q17&lt;&gt;"",Q17,0))*2,0)/2),"")</f>
        <v/>
      </c>
      <c r="T17" s="43" t="str">
        <f t="shared" ref="T17:T47" si="3">IF(S17&lt;&gt;"",S17,"")</f>
        <v/>
      </c>
      <c r="U17" s="74"/>
      <c r="V17" s="75"/>
    </row>
    <row r="18" spans="2:22" ht="27" customHeight="1" x14ac:dyDescent="0.3">
      <c r="B18" s="11">
        <v>2</v>
      </c>
      <c r="C18" s="29">
        <f t="shared" ca="1" si="1"/>
        <v>46055</v>
      </c>
      <c r="D18" s="68"/>
      <c r="E18" s="69"/>
      <c r="F18" s="70"/>
      <c r="G18" s="18"/>
      <c r="H18" s="11" t="str">
        <f>IF(G18="","",IF(C18&lt;G18,"사후","사전"))</f>
        <v/>
      </c>
      <c r="I18" s="30"/>
      <c r="J18" s="32"/>
      <c r="K18" s="41" t="str">
        <f t="shared" ref="K18:K46" si="4">IF(AND(I18&lt;&gt;"",J18&lt;&gt;""),ROUNDDOWN((MOD(J18-I18,1)*24)*2,0)/2,"")</f>
        <v/>
      </c>
      <c r="L18" s="30"/>
      <c r="M18" s="32"/>
      <c r="N18" s="66"/>
      <c r="O18" s="30"/>
      <c r="P18" s="34" t="s">
        <v>41</v>
      </c>
      <c r="Q18" s="34"/>
      <c r="R18" s="53"/>
      <c r="S18" s="42" t="str">
        <f>IF(AND(L18&lt;&gt;"",M18&lt;&gt;""),IF(P18="입력하세요","대체휴무지급  여부 입력",ROUNDDOWN(MAX(0,((M18-L18)*24)-IF(N18&lt;&gt;"",N18,0)-IF(Q18&lt;&gt;"",Q18,0))*2,0)/2),"")</f>
        <v/>
      </c>
      <c r="T18" s="43" t="str">
        <f t="shared" si="3"/>
        <v/>
      </c>
      <c r="U18" s="74"/>
      <c r="V18" s="75"/>
    </row>
    <row r="19" spans="2:22" ht="27" customHeight="1" x14ac:dyDescent="0.3">
      <c r="B19" s="11">
        <v>3</v>
      </c>
      <c r="C19" s="29">
        <f t="shared" ca="1" si="1"/>
        <v>46056</v>
      </c>
      <c r="D19" s="68"/>
      <c r="E19" s="69"/>
      <c r="F19" s="70"/>
      <c r="G19" s="18"/>
      <c r="H19" s="11" t="str">
        <f t="shared" ref="H19:H31" si="5">IF(G19="","",IF(C19&lt;G19,"사후","사전"))</f>
        <v/>
      </c>
      <c r="I19" s="30"/>
      <c r="J19" s="32"/>
      <c r="K19" s="41" t="str">
        <f t="shared" si="4"/>
        <v/>
      </c>
      <c r="L19" s="30"/>
      <c r="M19" s="32"/>
      <c r="N19" s="66"/>
      <c r="O19" s="30"/>
      <c r="P19" s="34" t="s">
        <v>41</v>
      </c>
      <c r="Q19" s="34"/>
      <c r="R19" s="53"/>
      <c r="S19" s="42" t="str">
        <f t="shared" si="2"/>
        <v/>
      </c>
      <c r="T19" s="43" t="str">
        <f t="shared" si="3"/>
        <v/>
      </c>
      <c r="U19" s="74"/>
      <c r="V19" s="75"/>
    </row>
    <row r="20" spans="2:22" ht="27" customHeight="1" x14ac:dyDescent="0.3">
      <c r="B20" s="11">
        <v>4</v>
      </c>
      <c r="C20" s="29">
        <f ca="1">DATE(YEAR($D$6),$C$2,$B20)</f>
        <v>46057</v>
      </c>
      <c r="D20" s="68"/>
      <c r="E20" s="69"/>
      <c r="F20" s="70"/>
      <c r="G20" s="18"/>
      <c r="H20" s="11" t="str">
        <f t="shared" si="5"/>
        <v/>
      </c>
      <c r="I20" s="30"/>
      <c r="J20" s="32"/>
      <c r="K20" s="41" t="str">
        <f t="shared" si="4"/>
        <v/>
      </c>
      <c r="L20" s="30"/>
      <c r="M20" s="32"/>
      <c r="N20" s="66"/>
      <c r="O20" s="30"/>
      <c r="P20" s="34" t="s">
        <v>41</v>
      </c>
      <c r="Q20" s="34"/>
      <c r="R20" s="53"/>
      <c r="S20" s="42" t="str">
        <f t="shared" si="2"/>
        <v/>
      </c>
      <c r="T20" s="43" t="str">
        <f t="shared" si="3"/>
        <v/>
      </c>
      <c r="U20" s="74"/>
      <c r="V20" s="75"/>
    </row>
    <row r="21" spans="2:22" ht="27" customHeight="1" x14ac:dyDescent="0.3">
      <c r="B21" s="11">
        <v>5</v>
      </c>
      <c r="C21" s="29">
        <f t="shared" ca="1" si="1"/>
        <v>46058</v>
      </c>
      <c r="D21" s="68"/>
      <c r="E21" s="69"/>
      <c r="F21" s="70"/>
      <c r="G21" s="18"/>
      <c r="H21" s="11" t="str">
        <f t="shared" si="5"/>
        <v/>
      </c>
      <c r="I21" s="30"/>
      <c r="J21" s="32"/>
      <c r="K21" s="41" t="str">
        <f>IF(AND(I21&lt;&gt;"",J21&lt;&gt;""),ROUNDDOWN((MOD(J21-I21,1)*24)*2,0)/2,"")</f>
        <v/>
      </c>
      <c r="L21" s="30"/>
      <c r="M21" s="32"/>
      <c r="N21" s="66"/>
      <c r="O21" s="30"/>
      <c r="P21" s="34" t="s">
        <v>41</v>
      </c>
      <c r="Q21" s="34"/>
      <c r="R21" s="53"/>
      <c r="S21" s="42" t="str">
        <f t="shared" si="2"/>
        <v/>
      </c>
      <c r="T21" s="43" t="str">
        <f t="shared" si="3"/>
        <v/>
      </c>
      <c r="U21" s="74"/>
      <c r="V21" s="75"/>
    </row>
    <row r="22" spans="2:22" ht="27" customHeight="1" x14ac:dyDescent="0.3">
      <c r="B22" s="11">
        <v>6</v>
      </c>
      <c r="C22" s="29">
        <f t="shared" ca="1" si="1"/>
        <v>46059</v>
      </c>
      <c r="D22" s="68"/>
      <c r="E22" s="69"/>
      <c r="F22" s="70"/>
      <c r="G22" s="18"/>
      <c r="H22" s="11" t="str">
        <f t="shared" si="5"/>
        <v/>
      </c>
      <c r="I22" s="30"/>
      <c r="J22" s="32"/>
      <c r="K22" s="41" t="str">
        <f t="shared" si="4"/>
        <v/>
      </c>
      <c r="L22" s="30"/>
      <c r="M22" s="32"/>
      <c r="N22" s="66"/>
      <c r="O22" s="30"/>
      <c r="P22" s="34" t="s">
        <v>41</v>
      </c>
      <c r="Q22" s="34"/>
      <c r="R22" s="53"/>
      <c r="S22" s="42" t="str">
        <f t="shared" si="2"/>
        <v/>
      </c>
      <c r="T22" s="43" t="str">
        <f t="shared" si="3"/>
        <v/>
      </c>
      <c r="U22" s="74"/>
      <c r="V22" s="75"/>
    </row>
    <row r="23" spans="2:22" ht="27" customHeight="1" x14ac:dyDescent="0.3">
      <c r="B23" s="11">
        <v>7</v>
      </c>
      <c r="C23" s="29">
        <f t="shared" ca="1" si="1"/>
        <v>46060</v>
      </c>
      <c r="D23" s="68"/>
      <c r="E23" s="69"/>
      <c r="F23" s="70"/>
      <c r="G23" s="18"/>
      <c r="H23" s="11" t="str">
        <f t="shared" si="5"/>
        <v/>
      </c>
      <c r="I23" s="30"/>
      <c r="J23" s="32"/>
      <c r="K23" s="41" t="str">
        <f t="shared" si="4"/>
        <v/>
      </c>
      <c r="L23" s="30"/>
      <c r="M23" s="32"/>
      <c r="N23" s="66"/>
      <c r="O23" s="30"/>
      <c r="P23" s="34" t="s">
        <v>41</v>
      </c>
      <c r="Q23" s="34"/>
      <c r="R23" s="53"/>
      <c r="S23" s="42" t="str">
        <f t="shared" si="2"/>
        <v/>
      </c>
      <c r="T23" s="43" t="str">
        <f t="shared" si="3"/>
        <v/>
      </c>
      <c r="U23" s="74"/>
      <c r="V23" s="75"/>
    </row>
    <row r="24" spans="2:22" ht="27" customHeight="1" x14ac:dyDescent="0.3">
      <c r="B24" s="11">
        <v>8</v>
      </c>
      <c r="C24" s="29">
        <f t="shared" ca="1" si="1"/>
        <v>46061</v>
      </c>
      <c r="D24" s="71"/>
      <c r="E24" s="72"/>
      <c r="F24" s="73"/>
      <c r="G24" s="18"/>
      <c r="H24" s="11" t="str">
        <f t="shared" si="5"/>
        <v/>
      </c>
      <c r="I24" s="30"/>
      <c r="J24" s="67"/>
      <c r="K24" s="41" t="str">
        <f t="shared" si="4"/>
        <v/>
      </c>
      <c r="L24" s="30"/>
      <c r="M24" s="32"/>
      <c r="N24" s="66"/>
      <c r="O24" s="30"/>
      <c r="P24" s="34" t="s">
        <v>41</v>
      </c>
      <c r="Q24" s="34"/>
      <c r="R24" s="53"/>
      <c r="S24" s="42" t="str">
        <f t="shared" si="2"/>
        <v/>
      </c>
      <c r="T24" s="43" t="str">
        <f t="shared" si="3"/>
        <v/>
      </c>
      <c r="U24" s="74"/>
      <c r="V24" s="75"/>
    </row>
    <row r="25" spans="2:22" ht="27" customHeight="1" x14ac:dyDescent="0.3">
      <c r="B25" s="11">
        <v>9</v>
      </c>
      <c r="C25" s="29">
        <f t="shared" ca="1" si="1"/>
        <v>46062</v>
      </c>
      <c r="D25" s="71"/>
      <c r="E25" s="72"/>
      <c r="F25" s="73"/>
      <c r="G25" s="18"/>
      <c r="H25" s="11" t="str">
        <f t="shared" si="5"/>
        <v/>
      </c>
      <c r="I25" s="30"/>
      <c r="J25" s="67"/>
      <c r="K25" s="41" t="str">
        <f t="shared" si="4"/>
        <v/>
      </c>
      <c r="L25" s="30"/>
      <c r="M25" s="32"/>
      <c r="N25" s="66"/>
      <c r="O25" s="30"/>
      <c r="P25" s="34" t="s">
        <v>41</v>
      </c>
      <c r="Q25" s="34"/>
      <c r="R25" s="53"/>
      <c r="S25" s="42" t="str">
        <f t="shared" si="2"/>
        <v/>
      </c>
      <c r="T25" s="43" t="str">
        <f t="shared" si="3"/>
        <v/>
      </c>
      <c r="U25" s="74"/>
      <c r="V25" s="75"/>
    </row>
    <row r="26" spans="2:22" ht="27" customHeight="1" x14ac:dyDescent="0.3">
      <c r="B26" s="11">
        <v>10</v>
      </c>
      <c r="C26" s="29">
        <f t="shared" ca="1" si="1"/>
        <v>46063</v>
      </c>
      <c r="D26" s="68"/>
      <c r="E26" s="69"/>
      <c r="F26" s="70"/>
      <c r="G26" s="18"/>
      <c r="H26" s="11" t="str">
        <f t="shared" si="5"/>
        <v/>
      </c>
      <c r="I26" s="30"/>
      <c r="J26" s="32"/>
      <c r="K26" s="41" t="str">
        <f t="shared" si="4"/>
        <v/>
      </c>
      <c r="L26" s="30"/>
      <c r="M26" s="32"/>
      <c r="N26" s="66"/>
      <c r="O26" s="30"/>
      <c r="P26" s="34" t="s">
        <v>41</v>
      </c>
      <c r="Q26" s="34"/>
      <c r="R26" s="53"/>
      <c r="S26" s="42" t="str">
        <f t="shared" si="2"/>
        <v/>
      </c>
      <c r="T26" s="43" t="str">
        <f t="shared" si="3"/>
        <v/>
      </c>
      <c r="U26" s="74"/>
      <c r="V26" s="75"/>
    </row>
    <row r="27" spans="2:22" ht="27" customHeight="1" x14ac:dyDescent="0.3">
      <c r="B27" s="11">
        <v>11</v>
      </c>
      <c r="C27" s="29">
        <f t="shared" ca="1" si="1"/>
        <v>46064</v>
      </c>
      <c r="D27" s="68"/>
      <c r="E27" s="69"/>
      <c r="F27" s="70"/>
      <c r="G27" s="18"/>
      <c r="H27" s="11" t="str">
        <f t="shared" si="5"/>
        <v/>
      </c>
      <c r="I27" s="30"/>
      <c r="J27" s="32"/>
      <c r="K27" s="41" t="str">
        <f t="shared" si="4"/>
        <v/>
      </c>
      <c r="L27" s="30"/>
      <c r="M27" s="32"/>
      <c r="N27" s="66"/>
      <c r="O27" s="30"/>
      <c r="P27" s="34" t="s">
        <v>41</v>
      </c>
      <c r="Q27" s="34"/>
      <c r="R27" s="53"/>
      <c r="S27" s="42" t="str">
        <f t="shared" si="2"/>
        <v/>
      </c>
      <c r="T27" s="43" t="str">
        <f t="shared" si="3"/>
        <v/>
      </c>
      <c r="U27" s="74"/>
      <c r="V27" s="75"/>
    </row>
    <row r="28" spans="2:22" ht="27" customHeight="1" x14ac:dyDescent="0.3">
      <c r="B28" s="11">
        <v>12</v>
      </c>
      <c r="C28" s="29">
        <f t="shared" ca="1" si="1"/>
        <v>46065</v>
      </c>
      <c r="D28" s="68"/>
      <c r="E28" s="69"/>
      <c r="F28" s="70"/>
      <c r="G28" s="18"/>
      <c r="H28" s="11" t="str">
        <f t="shared" si="5"/>
        <v/>
      </c>
      <c r="I28" s="30"/>
      <c r="J28" s="32"/>
      <c r="K28" s="41" t="str">
        <f t="shared" si="4"/>
        <v/>
      </c>
      <c r="L28" s="30"/>
      <c r="M28" s="32"/>
      <c r="N28" s="66"/>
      <c r="O28" s="30"/>
      <c r="P28" s="34" t="s">
        <v>41</v>
      </c>
      <c r="Q28" s="34"/>
      <c r="R28" s="53"/>
      <c r="S28" s="42" t="str">
        <f t="shared" si="2"/>
        <v/>
      </c>
      <c r="T28" s="43" t="str">
        <f t="shared" si="3"/>
        <v/>
      </c>
      <c r="U28" s="74"/>
      <c r="V28" s="75"/>
    </row>
    <row r="29" spans="2:22" ht="27" customHeight="1" x14ac:dyDescent="0.3">
      <c r="B29" s="11">
        <v>13</v>
      </c>
      <c r="C29" s="29">
        <f t="shared" ca="1" si="1"/>
        <v>46066</v>
      </c>
      <c r="D29" s="68"/>
      <c r="E29" s="69"/>
      <c r="F29" s="70"/>
      <c r="G29" s="18"/>
      <c r="H29" s="11" t="str">
        <f t="shared" si="5"/>
        <v/>
      </c>
      <c r="I29" s="30"/>
      <c r="J29" s="32"/>
      <c r="K29" s="41" t="str">
        <f t="shared" si="4"/>
        <v/>
      </c>
      <c r="L29" s="30"/>
      <c r="M29" s="32"/>
      <c r="N29" s="66"/>
      <c r="O29" s="30"/>
      <c r="P29" s="34" t="s">
        <v>41</v>
      </c>
      <c r="Q29" s="34"/>
      <c r="R29" s="53"/>
      <c r="S29" s="42" t="str">
        <f t="shared" si="2"/>
        <v/>
      </c>
      <c r="T29" s="43" t="str">
        <f t="shared" si="3"/>
        <v/>
      </c>
      <c r="U29" s="74"/>
      <c r="V29" s="75"/>
    </row>
    <row r="30" spans="2:22" ht="27" customHeight="1" x14ac:dyDescent="0.3">
      <c r="B30" s="11">
        <v>14</v>
      </c>
      <c r="C30" s="29">
        <f t="shared" ca="1" si="1"/>
        <v>46067</v>
      </c>
      <c r="D30" s="71"/>
      <c r="E30" s="72"/>
      <c r="F30" s="73"/>
      <c r="G30" s="18"/>
      <c r="H30" s="11" t="str">
        <f t="shared" si="5"/>
        <v/>
      </c>
      <c r="I30" s="30"/>
      <c r="J30" s="67"/>
      <c r="K30" s="41" t="str">
        <f t="shared" si="4"/>
        <v/>
      </c>
      <c r="L30" s="30"/>
      <c r="M30" s="32"/>
      <c r="N30" s="66"/>
      <c r="O30" s="30"/>
      <c r="P30" s="34" t="s">
        <v>41</v>
      </c>
      <c r="Q30" s="34"/>
      <c r="R30" s="53"/>
      <c r="S30" s="42" t="str">
        <f t="shared" si="2"/>
        <v/>
      </c>
      <c r="T30" s="43" t="str">
        <f t="shared" si="3"/>
        <v/>
      </c>
      <c r="U30" s="74"/>
      <c r="V30" s="75"/>
    </row>
    <row r="31" spans="2:22" ht="27" customHeight="1" x14ac:dyDescent="0.3">
      <c r="B31" s="11">
        <v>15</v>
      </c>
      <c r="C31" s="29">
        <f t="shared" ca="1" si="1"/>
        <v>46068</v>
      </c>
      <c r="D31" s="68"/>
      <c r="E31" s="69"/>
      <c r="F31" s="70"/>
      <c r="G31" s="18"/>
      <c r="H31" s="11" t="str">
        <f t="shared" si="5"/>
        <v/>
      </c>
      <c r="I31" s="30"/>
      <c r="J31" s="32"/>
      <c r="K31" s="41" t="str">
        <f t="shared" si="4"/>
        <v/>
      </c>
      <c r="L31" s="30"/>
      <c r="M31" s="32"/>
      <c r="N31" s="66"/>
      <c r="O31" s="30"/>
      <c r="P31" s="34" t="s">
        <v>41</v>
      </c>
      <c r="Q31" s="34"/>
      <c r="R31" s="53"/>
      <c r="S31" s="42" t="str">
        <f t="shared" si="2"/>
        <v/>
      </c>
      <c r="T31" s="43" t="str">
        <f t="shared" si="3"/>
        <v/>
      </c>
      <c r="U31" s="74"/>
      <c r="V31" s="75"/>
    </row>
    <row r="32" spans="2:22" ht="27" customHeight="1" x14ac:dyDescent="0.3">
      <c r="B32" s="11">
        <v>16</v>
      </c>
      <c r="C32" s="29">
        <f t="shared" ca="1" si="1"/>
        <v>46069</v>
      </c>
      <c r="D32" s="71"/>
      <c r="E32" s="72"/>
      <c r="F32" s="73"/>
      <c r="G32" s="18"/>
      <c r="H32" s="11" t="str">
        <f t="shared" ref="H32:H36" si="6">IF(G32="","",IF(C32&lt;G32,"사후","사전"))</f>
        <v/>
      </c>
      <c r="I32" s="30"/>
      <c r="J32" s="67"/>
      <c r="K32" s="41" t="str">
        <f t="shared" si="4"/>
        <v/>
      </c>
      <c r="L32" s="30"/>
      <c r="M32" s="32"/>
      <c r="N32" s="66"/>
      <c r="O32" s="30"/>
      <c r="P32" s="34" t="s">
        <v>41</v>
      </c>
      <c r="Q32" s="34"/>
      <c r="R32" s="53"/>
      <c r="S32" s="42" t="str">
        <f t="shared" si="2"/>
        <v/>
      </c>
      <c r="T32" s="43" t="str">
        <f t="shared" si="3"/>
        <v/>
      </c>
      <c r="U32" s="74"/>
      <c r="V32" s="75"/>
    </row>
    <row r="33" spans="2:22" ht="27" customHeight="1" x14ac:dyDescent="0.3">
      <c r="B33" s="11">
        <v>17</v>
      </c>
      <c r="C33" s="29">
        <f t="shared" ca="1" si="1"/>
        <v>46070</v>
      </c>
      <c r="D33" s="68"/>
      <c r="E33" s="69"/>
      <c r="F33" s="70"/>
      <c r="G33" s="18"/>
      <c r="H33" s="11" t="str">
        <f t="shared" si="6"/>
        <v/>
      </c>
      <c r="I33" s="30"/>
      <c r="J33" s="32"/>
      <c r="K33" s="41" t="str">
        <f t="shared" si="4"/>
        <v/>
      </c>
      <c r="L33" s="30"/>
      <c r="M33" s="32"/>
      <c r="N33" s="66"/>
      <c r="O33" s="30"/>
      <c r="P33" s="34" t="s">
        <v>41</v>
      </c>
      <c r="Q33" s="34"/>
      <c r="R33" s="53"/>
      <c r="S33" s="42" t="str">
        <f t="shared" si="2"/>
        <v/>
      </c>
      <c r="T33" s="43" t="str">
        <f t="shared" si="3"/>
        <v/>
      </c>
      <c r="U33" s="74"/>
      <c r="V33" s="75"/>
    </row>
    <row r="34" spans="2:22" ht="27" customHeight="1" x14ac:dyDescent="0.3">
      <c r="B34" s="11">
        <v>18</v>
      </c>
      <c r="C34" s="29">
        <f t="shared" ca="1" si="1"/>
        <v>46071</v>
      </c>
      <c r="D34" s="68"/>
      <c r="E34" s="69"/>
      <c r="F34" s="70"/>
      <c r="G34" s="18"/>
      <c r="H34" s="11" t="str">
        <f t="shared" si="6"/>
        <v/>
      </c>
      <c r="I34" s="30"/>
      <c r="J34" s="32"/>
      <c r="K34" s="41" t="str">
        <f t="shared" si="4"/>
        <v/>
      </c>
      <c r="L34" s="30"/>
      <c r="M34" s="32"/>
      <c r="N34" s="66"/>
      <c r="O34" s="30"/>
      <c r="P34" s="34" t="s">
        <v>41</v>
      </c>
      <c r="Q34" s="34"/>
      <c r="R34" s="53"/>
      <c r="S34" s="42" t="str">
        <f t="shared" si="2"/>
        <v/>
      </c>
      <c r="T34" s="43" t="str">
        <f t="shared" si="3"/>
        <v/>
      </c>
      <c r="U34" s="74"/>
      <c r="V34" s="75"/>
    </row>
    <row r="35" spans="2:22" ht="27" customHeight="1" x14ac:dyDescent="0.3">
      <c r="B35" s="11">
        <v>19</v>
      </c>
      <c r="C35" s="29">
        <f t="shared" ca="1" si="1"/>
        <v>46072</v>
      </c>
      <c r="D35" s="68"/>
      <c r="E35" s="69"/>
      <c r="F35" s="70"/>
      <c r="G35" s="18"/>
      <c r="H35" s="11" t="str">
        <f t="shared" si="6"/>
        <v/>
      </c>
      <c r="I35" s="30"/>
      <c r="J35" s="32"/>
      <c r="K35" s="41" t="str">
        <f t="shared" si="4"/>
        <v/>
      </c>
      <c r="L35" s="30"/>
      <c r="M35" s="32"/>
      <c r="N35" s="66"/>
      <c r="O35" s="30"/>
      <c r="P35" s="34" t="s">
        <v>41</v>
      </c>
      <c r="Q35" s="34"/>
      <c r="R35" s="53"/>
      <c r="S35" s="42" t="str">
        <f t="shared" si="2"/>
        <v/>
      </c>
      <c r="T35" s="43" t="str">
        <f t="shared" si="3"/>
        <v/>
      </c>
      <c r="U35" s="74"/>
      <c r="V35" s="75"/>
    </row>
    <row r="36" spans="2:22" ht="27" customHeight="1" x14ac:dyDescent="0.3">
      <c r="B36" s="11">
        <v>20</v>
      </c>
      <c r="C36" s="29">
        <f t="shared" ca="1" si="1"/>
        <v>46073</v>
      </c>
      <c r="D36" s="68"/>
      <c r="E36" s="69"/>
      <c r="F36" s="70"/>
      <c r="G36" s="18"/>
      <c r="H36" s="11" t="str">
        <f t="shared" si="6"/>
        <v/>
      </c>
      <c r="I36" s="30"/>
      <c r="J36" s="32"/>
      <c r="K36" s="41" t="str">
        <f t="shared" si="4"/>
        <v/>
      </c>
      <c r="L36" s="30"/>
      <c r="M36" s="32"/>
      <c r="N36" s="66"/>
      <c r="O36" s="30"/>
      <c r="P36" s="34"/>
      <c r="Q36" s="34"/>
      <c r="R36" s="53"/>
      <c r="S36" s="42" t="str">
        <f t="shared" si="2"/>
        <v/>
      </c>
      <c r="T36" s="43" t="str">
        <f t="shared" si="3"/>
        <v/>
      </c>
      <c r="U36" s="74"/>
      <c r="V36" s="75"/>
    </row>
    <row r="37" spans="2:22" ht="27" customHeight="1" x14ac:dyDescent="0.3">
      <c r="B37" s="11">
        <v>21</v>
      </c>
      <c r="C37" s="29">
        <f t="shared" ca="1" si="1"/>
        <v>46074</v>
      </c>
      <c r="D37" s="68"/>
      <c r="E37" s="69"/>
      <c r="F37" s="70"/>
      <c r="G37" s="18"/>
      <c r="H37" s="11" t="str">
        <f t="shared" ref="H37:H47" si="7">IF(G37="","",IF(C37&lt;G37,"사후","사전"))</f>
        <v/>
      </c>
      <c r="I37" s="30"/>
      <c r="J37" s="32"/>
      <c r="K37" s="41" t="str">
        <f t="shared" si="4"/>
        <v/>
      </c>
      <c r="L37" s="30"/>
      <c r="M37" s="32"/>
      <c r="N37" s="66"/>
      <c r="O37" s="30"/>
      <c r="P37" s="34" t="s">
        <v>41</v>
      </c>
      <c r="Q37" s="34"/>
      <c r="R37" s="53"/>
      <c r="S37" s="42" t="str">
        <f t="shared" si="2"/>
        <v/>
      </c>
      <c r="T37" s="43" t="str">
        <f t="shared" si="3"/>
        <v/>
      </c>
      <c r="U37" s="74"/>
      <c r="V37" s="75"/>
    </row>
    <row r="38" spans="2:22" ht="27" customHeight="1" x14ac:dyDescent="0.3">
      <c r="B38" s="11">
        <v>22</v>
      </c>
      <c r="C38" s="29">
        <f t="shared" ca="1" si="1"/>
        <v>46075</v>
      </c>
      <c r="D38" s="68"/>
      <c r="E38" s="69"/>
      <c r="F38" s="70"/>
      <c r="G38" s="18"/>
      <c r="H38" s="11" t="str">
        <f t="shared" si="7"/>
        <v/>
      </c>
      <c r="I38" s="30"/>
      <c r="J38" s="32"/>
      <c r="K38" s="41" t="str">
        <f t="shared" si="4"/>
        <v/>
      </c>
      <c r="L38" s="30"/>
      <c r="M38" s="32"/>
      <c r="N38" s="66"/>
      <c r="O38" s="30"/>
      <c r="P38" s="34" t="s">
        <v>41</v>
      </c>
      <c r="Q38" s="34"/>
      <c r="R38" s="53"/>
      <c r="S38" s="42" t="str">
        <f t="shared" si="2"/>
        <v/>
      </c>
      <c r="T38" s="43" t="str">
        <f t="shared" si="3"/>
        <v/>
      </c>
      <c r="U38" s="74"/>
      <c r="V38" s="75"/>
    </row>
    <row r="39" spans="2:22" ht="27" customHeight="1" x14ac:dyDescent="0.3">
      <c r="B39" s="11">
        <v>23</v>
      </c>
      <c r="C39" s="29">
        <f t="shared" ca="1" si="1"/>
        <v>46076</v>
      </c>
      <c r="D39" s="68"/>
      <c r="E39" s="69"/>
      <c r="F39" s="70"/>
      <c r="G39" s="18"/>
      <c r="H39" s="11" t="str">
        <f t="shared" si="7"/>
        <v/>
      </c>
      <c r="I39" s="30"/>
      <c r="J39" s="32"/>
      <c r="K39" s="41" t="str">
        <f t="shared" si="4"/>
        <v/>
      </c>
      <c r="L39" s="30"/>
      <c r="M39" s="32"/>
      <c r="N39" s="66"/>
      <c r="O39" s="30"/>
      <c r="P39" s="34" t="s">
        <v>41</v>
      </c>
      <c r="Q39" s="34"/>
      <c r="R39" s="53"/>
      <c r="S39" s="42" t="str">
        <f t="shared" si="2"/>
        <v/>
      </c>
      <c r="T39" s="43" t="str">
        <f t="shared" si="3"/>
        <v/>
      </c>
      <c r="U39" s="74"/>
      <c r="V39" s="75"/>
    </row>
    <row r="40" spans="2:22" ht="27" customHeight="1" x14ac:dyDescent="0.3">
      <c r="B40" s="11">
        <v>24</v>
      </c>
      <c r="C40" s="29">
        <f t="shared" ca="1" si="1"/>
        <v>46077</v>
      </c>
      <c r="D40" s="68"/>
      <c r="E40" s="69"/>
      <c r="F40" s="70"/>
      <c r="G40" s="18"/>
      <c r="H40" s="11" t="str">
        <f t="shared" si="7"/>
        <v/>
      </c>
      <c r="I40" s="30"/>
      <c r="J40" s="32"/>
      <c r="K40" s="41" t="str">
        <f t="shared" si="4"/>
        <v/>
      </c>
      <c r="L40" s="30"/>
      <c r="M40" s="32"/>
      <c r="N40" s="66"/>
      <c r="O40" s="30"/>
      <c r="P40" s="34" t="s">
        <v>41</v>
      </c>
      <c r="Q40" s="34"/>
      <c r="R40" s="53"/>
      <c r="S40" s="42" t="str">
        <f t="shared" si="2"/>
        <v/>
      </c>
      <c r="T40" s="43" t="str">
        <f t="shared" si="3"/>
        <v/>
      </c>
      <c r="U40" s="74"/>
      <c r="V40" s="75"/>
    </row>
    <row r="41" spans="2:22" ht="27" customHeight="1" x14ac:dyDescent="0.3">
      <c r="B41" s="11">
        <v>25</v>
      </c>
      <c r="C41" s="29">
        <f t="shared" ca="1" si="1"/>
        <v>46078</v>
      </c>
      <c r="D41" s="68"/>
      <c r="E41" s="69"/>
      <c r="F41" s="70"/>
      <c r="G41" s="18"/>
      <c r="H41" s="11" t="str">
        <f t="shared" si="7"/>
        <v/>
      </c>
      <c r="I41" s="30"/>
      <c r="J41" s="32"/>
      <c r="K41" s="41" t="str">
        <f t="shared" si="4"/>
        <v/>
      </c>
      <c r="L41" s="30"/>
      <c r="M41" s="32"/>
      <c r="N41" s="66"/>
      <c r="O41" s="30"/>
      <c r="P41" s="34" t="s">
        <v>41</v>
      </c>
      <c r="Q41" s="34"/>
      <c r="R41" s="53"/>
      <c r="S41" s="42" t="str">
        <f t="shared" si="2"/>
        <v/>
      </c>
      <c r="T41" s="43" t="str">
        <f t="shared" si="3"/>
        <v/>
      </c>
      <c r="U41" s="74"/>
      <c r="V41" s="75"/>
    </row>
    <row r="42" spans="2:22" ht="27" customHeight="1" x14ac:dyDescent="0.3">
      <c r="B42" s="11">
        <v>26</v>
      </c>
      <c r="C42" s="29">
        <f t="shared" ca="1" si="1"/>
        <v>46079</v>
      </c>
      <c r="D42" s="68"/>
      <c r="E42" s="69"/>
      <c r="F42" s="70"/>
      <c r="G42" s="18"/>
      <c r="H42" s="11" t="str">
        <f t="shared" si="7"/>
        <v/>
      </c>
      <c r="I42" s="30"/>
      <c r="J42" s="32"/>
      <c r="K42" s="41" t="str">
        <f t="shared" si="4"/>
        <v/>
      </c>
      <c r="L42" s="30"/>
      <c r="M42" s="32"/>
      <c r="N42" s="66"/>
      <c r="O42" s="30"/>
      <c r="P42" s="34"/>
      <c r="Q42" s="34"/>
      <c r="R42" s="53"/>
      <c r="S42" s="42" t="str">
        <f t="shared" si="2"/>
        <v/>
      </c>
      <c r="T42" s="43" t="str">
        <f t="shared" si="3"/>
        <v/>
      </c>
      <c r="U42" s="74"/>
      <c r="V42" s="75"/>
    </row>
    <row r="43" spans="2:22" ht="27" customHeight="1" x14ac:dyDescent="0.3">
      <c r="B43" s="11">
        <v>27</v>
      </c>
      <c r="C43" s="29">
        <f t="shared" ca="1" si="1"/>
        <v>46080</v>
      </c>
      <c r="D43" s="68"/>
      <c r="E43" s="69"/>
      <c r="F43" s="70"/>
      <c r="G43" s="18"/>
      <c r="H43" s="11" t="str">
        <f t="shared" si="7"/>
        <v/>
      </c>
      <c r="I43" s="30"/>
      <c r="J43" s="32"/>
      <c r="K43" s="41" t="str">
        <f t="shared" si="4"/>
        <v/>
      </c>
      <c r="L43" s="30"/>
      <c r="M43" s="32"/>
      <c r="N43" s="66"/>
      <c r="O43" s="30"/>
      <c r="P43" s="34" t="s">
        <v>41</v>
      </c>
      <c r="Q43" s="34"/>
      <c r="R43" s="53"/>
      <c r="S43" s="42" t="str">
        <f t="shared" si="2"/>
        <v/>
      </c>
      <c r="T43" s="43" t="str">
        <f t="shared" si="3"/>
        <v/>
      </c>
      <c r="U43" s="74"/>
      <c r="V43" s="75"/>
    </row>
    <row r="44" spans="2:22" ht="27" customHeight="1" x14ac:dyDescent="0.3">
      <c r="B44" s="11">
        <v>28</v>
      </c>
      <c r="C44" s="29">
        <f t="shared" ca="1" si="1"/>
        <v>46081</v>
      </c>
      <c r="D44" s="68"/>
      <c r="E44" s="69"/>
      <c r="F44" s="70"/>
      <c r="G44" s="18"/>
      <c r="H44" s="11" t="str">
        <f t="shared" si="7"/>
        <v/>
      </c>
      <c r="I44" s="30"/>
      <c r="J44" s="32"/>
      <c r="K44" s="41" t="str">
        <f t="shared" si="4"/>
        <v/>
      </c>
      <c r="L44" s="30"/>
      <c r="M44" s="32"/>
      <c r="N44" s="66"/>
      <c r="O44" s="30"/>
      <c r="P44" s="34" t="s">
        <v>41</v>
      </c>
      <c r="Q44" s="34"/>
      <c r="R44" s="53"/>
      <c r="S44" s="42" t="str">
        <f t="shared" si="2"/>
        <v/>
      </c>
      <c r="T44" s="43" t="str">
        <f t="shared" si="3"/>
        <v/>
      </c>
      <c r="U44" s="74"/>
      <c r="V44" s="75"/>
    </row>
    <row r="45" spans="2:22" ht="27" customHeight="1" x14ac:dyDescent="0.3">
      <c r="B45" s="11">
        <v>29</v>
      </c>
      <c r="C45" s="29" t="str">
        <f ca="1">IF(MONTH(DATE(YEAR($D$6),$C$2,B45))&lt;&gt;MONTH($C$44),"공란",DATE(YEAR($D$6),$C$2,B45))</f>
        <v>공란</v>
      </c>
      <c r="D45" s="68"/>
      <c r="E45" s="69"/>
      <c r="F45" s="70"/>
      <c r="G45" s="18"/>
      <c r="H45" s="11" t="str">
        <f t="shared" si="7"/>
        <v/>
      </c>
      <c r="I45" s="30"/>
      <c r="J45" s="32"/>
      <c r="K45" s="41" t="str">
        <f t="shared" si="4"/>
        <v/>
      </c>
      <c r="L45" s="30"/>
      <c r="M45" s="32"/>
      <c r="N45" s="66"/>
      <c r="O45" s="30"/>
      <c r="P45" s="34" t="s">
        <v>41</v>
      </c>
      <c r="Q45" s="34"/>
      <c r="R45" s="53"/>
      <c r="S45" s="42" t="str">
        <f t="shared" si="2"/>
        <v/>
      </c>
      <c r="T45" s="43" t="str">
        <f t="shared" si="3"/>
        <v/>
      </c>
      <c r="U45" s="74"/>
      <c r="V45" s="75"/>
    </row>
    <row r="46" spans="2:22" ht="27" customHeight="1" x14ac:dyDescent="0.3">
      <c r="B46" s="11">
        <v>30</v>
      </c>
      <c r="C46" s="29" t="str">
        <f ca="1">IF(MONTH(DATE(YEAR($D$6),$C$2,B46))&lt;&gt;MONTH($C$44),"공란",DATE(YEAR($D$6),$C$2,B46))</f>
        <v>공란</v>
      </c>
      <c r="D46" s="68"/>
      <c r="E46" s="69"/>
      <c r="F46" s="70"/>
      <c r="G46" s="18"/>
      <c r="H46" s="11" t="str">
        <f t="shared" si="7"/>
        <v/>
      </c>
      <c r="I46" s="30"/>
      <c r="J46" s="32"/>
      <c r="K46" s="41" t="str">
        <f t="shared" si="4"/>
        <v/>
      </c>
      <c r="L46" s="30"/>
      <c r="M46" s="32"/>
      <c r="N46" s="66"/>
      <c r="O46" s="30"/>
      <c r="P46" s="34"/>
      <c r="Q46" s="34"/>
      <c r="R46" s="53"/>
      <c r="S46" s="42" t="str">
        <f t="shared" si="2"/>
        <v/>
      </c>
      <c r="T46" s="43" t="str">
        <f t="shared" si="3"/>
        <v/>
      </c>
      <c r="U46" s="74"/>
      <c r="V46" s="75"/>
    </row>
    <row r="47" spans="2:22" ht="27" customHeight="1" x14ac:dyDescent="0.3">
      <c r="B47" s="11">
        <v>31</v>
      </c>
      <c r="C47" s="29" t="str">
        <f ca="1">IF(MONTH(DATE(YEAR($D$6),$C$2,B47))&lt;&gt;MONTH($C$44),"공란",DATE(YEAR($D$6),$C$2,B47))</f>
        <v>공란</v>
      </c>
      <c r="D47" s="68"/>
      <c r="E47" s="69"/>
      <c r="F47" s="70"/>
      <c r="G47" s="18"/>
      <c r="H47" s="11" t="str">
        <f t="shared" si="7"/>
        <v/>
      </c>
      <c r="I47" s="30"/>
      <c r="J47" s="32"/>
      <c r="K47" s="41" t="str">
        <f>IF(AND(I47&lt;&gt;"",J47&lt;&gt;""),ROUNDDOWN((MOD(J47-I47,1)*24)*2,0)/2,"")</f>
        <v/>
      </c>
      <c r="L47" s="30"/>
      <c r="M47" s="32"/>
      <c r="N47" s="66"/>
      <c r="O47" s="30"/>
      <c r="P47" s="34" t="s">
        <v>41</v>
      </c>
      <c r="Q47" s="34"/>
      <c r="R47" s="53"/>
      <c r="S47" s="42" t="str">
        <f t="shared" si="2"/>
        <v/>
      </c>
      <c r="T47" s="43" t="str">
        <f t="shared" si="3"/>
        <v/>
      </c>
      <c r="U47" s="74"/>
      <c r="V47" s="75"/>
    </row>
    <row r="48" spans="2:22" ht="24.95" customHeight="1" x14ac:dyDescent="0.3">
      <c r="B48" s="76" t="s">
        <v>6</v>
      </c>
      <c r="C48" s="76"/>
      <c r="D48" s="76"/>
      <c r="E48" s="76"/>
      <c r="F48" s="76"/>
      <c r="G48" s="76"/>
      <c r="H48" s="76"/>
      <c r="I48" s="76"/>
      <c r="J48" s="76"/>
      <c r="K48" s="76"/>
      <c r="L48" s="76"/>
      <c r="M48" s="76"/>
      <c r="N48" s="76"/>
      <c r="O48" s="76"/>
      <c r="P48" s="76"/>
      <c r="Q48" s="76"/>
      <c r="R48" s="76"/>
      <c r="S48" s="76"/>
      <c r="T48" s="76"/>
      <c r="U48" s="76"/>
      <c r="V48" s="76"/>
    </row>
    <row r="49" spans="20:21" x14ac:dyDescent="0.25">
      <c r="T49" s="5"/>
      <c r="U49" s="5"/>
    </row>
    <row r="50" spans="20:21" x14ac:dyDescent="0.25">
      <c r="T50" s="5"/>
      <c r="U50" s="5"/>
    </row>
  </sheetData>
  <sheetProtection algorithmName="SHA-512" hashValue="gXnT5FSRJUW2sklNdoTsDBZqUeSyjjIJ0ga60G+VSBeDgp5z6FSV+oOYZF0pB0AmmrQpjrIRFkmMJABGgbkjrA==" saltValue="q8Vg+LCdrydGicSmGAe2og==" spinCount="100000" sheet="1" objects="1" scenarios="1" formatRows="0"/>
  <mergeCells count="78">
    <mergeCell ref="S10:T10"/>
    <mergeCell ref="S14:V14"/>
    <mergeCell ref="S13:V13"/>
    <mergeCell ref="U18:V18"/>
    <mergeCell ref="U19:V19"/>
    <mergeCell ref="U20:V20"/>
    <mergeCell ref="B13:R13"/>
    <mergeCell ref="B14:K14"/>
    <mergeCell ref="U15:V15"/>
    <mergeCell ref="U17:V17"/>
    <mergeCell ref="D15:F15"/>
    <mergeCell ref="D17:F17"/>
    <mergeCell ref="D18:F18"/>
    <mergeCell ref="D19:F19"/>
    <mergeCell ref="D20:F20"/>
    <mergeCell ref="L14:R14"/>
    <mergeCell ref="D16:F16"/>
    <mergeCell ref="U16:V16"/>
    <mergeCell ref="C2:K3"/>
    <mergeCell ref="S3:U3"/>
    <mergeCell ref="S5:S7"/>
    <mergeCell ref="T5:T7"/>
    <mergeCell ref="U5:U7"/>
    <mergeCell ref="U21:V21"/>
    <mergeCell ref="U22:V22"/>
    <mergeCell ref="U23:V23"/>
    <mergeCell ref="U24:V24"/>
    <mergeCell ref="U25:V25"/>
    <mergeCell ref="U33:V33"/>
    <mergeCell ref="U34:V34"/>
    <mergeCell ref="U35:V35"/>
    <mergeCell ref="U26:V26"/>
    <mergeCell ref="U27:V27"/>
    <mergeCell ref="U28:V28"/>
    <mergeCell ref="U29:V29"/>
    <mergeCell ref="U30:V30"/>
    <mergeCell ref="U31:V31"/>
    <mergeCell ref="U32:V32"/>
    <mergeCell ref="U46:V46"/>
    <mergeCell ref="U47:V47"/>
    <mergeCell ref="B48:V48"/>
    <mergeCell ref="U41:V41"/>
    <mergeCell ref="U42:V42"/>
    <mergeCell ref="U43:V43"/>
    <mergeCell ref="U44:V44"/>
    <mergeCell ref="U45:V45"/>
    <mergeCell ref="D46:F46"/>
    <mergeCell ref="D47:F47"/>
    <mergeCell ref="D41:F41"/>
    <mergeCell ref="D42:F42"/>
    <mergeCell ref="D43:F43"/>
    <mergeCell ref="D44:F44"/>
    <mergeCell ref="D45:F45"/>
    <mergeCell ref="U36:V36"/>
    <mergeCell ref="U37:V37"/>
    <mergeCell ref="U38:V38"/>
    <mergeCell ref="U39:V39"/>
    <mergeCell ref="U40:V40"/>
    <mergeCell ref="D21:F21"/>
    <mergeCell ref="D22:F22"/>
    <mergeCell ref="D23:F23"/>
    <mergeCell ref="D24:F24"/>
    <mergeCell ref="D25:F25"/>
    <mergeCell ref="D26:F26"/>
    <mergeCell ref="D27:F27"/>
    <mergeCell ref="D28:F28"/>
    <mergeCell ref="D29:F29"/>
    <mergeCell ref="D30:F30"/>
    <mergeCell ref="D31:F31"/>
    <mergeCell ref="D33:F33"/>
    <mergeCell ref="D34:F34"/>
    <mergeCell ref="D35:F35"/>
    <mergeCell ref="D32:F32"/>
    <mergeCell ref="D36:F36"/>
    <mergeCell ref="D37:F37"/>
    <mergeCell ref="D38:F38"/>
    <mergeCell ref="D39:F39"/>
    <mergeCell ref="D40:F40"/>
  </mergeCells>
  <phoneticPr fontId="1" type="noConversion"/>
  <conditionalFormatting sqref="G16:H47">
    <cfRule type="expression" dxfId="11" priority="3">
      <formula>$H16="확정신청"</formula>
    </cfRule>
  </conditionalFormatting>
  <conditionalFormatting sqref="N16:N47">
    <cfRule type="cellIs" dxfId="10" priority="2" operator="equal">
      <formula>"O"</formula>
    </cfRule>
  </conditionalFormatting>
  <conditionalFormatting sqref="P16:P47">
    <cfRule type="cellIs" dxfId="9" priority="1" operator="equal">
      <formula>"입력하세요"</formula>
    </cfRule>
    <cfRule type="cellIs" dxfId="8" priority="6" operator="equal">
      <formula>"O"</formula>
    </cfRule>
  </conditionalFormatting>
  <dataValidations count="2">
    <dataValidation type="whole" allowBlank="1" showInputMessage="1" showErrorMessage="1" sqref="C2:Q3" xr:uid="{4213CAC8-06E9-4817-95FC-A68461A7EFFC}">
      <formula1>1</formula1>
      <formula2>12</formula2>
    </dataValidation>
    <dataValidation type="list" allowBlank="1" showInputMessage="1" showErrorMessage="1" sqref="P16:P47" xr:uid="{41FF25F0-E183-4499-B182-1836EFA0ED1A}">
      <formula1>"입력하세요,O,X"</formula1>
    </dataValidation>
  </dataValidations>
  <pageMargins left="0.7" right="0.7" top="0.75" bottom="0.75" header="0.3" footer="0.3"/>
  <pageSetup paperSize="9" scale="52" orientation="portrait" horizontalDpi="300" verticalDpi="300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1720F7-E5CA-4B4B-9767-723923BBD308}">
  <sheetPr>
    <pageSetUpPr autoPageBreaks="0"/>
  </sheetPr>
  <dimension ref="A1:V50"/>
  <sheetViews>
    <sheetView showGridLines="0" zoomScale="85" zoomScaleNormal="85" workbookViewId="0">
      <selection activeCell="D15" sqref="D15:F15"/>
    </sheetView>
  </sheetViews>
  <sheetFormatPr defaultRowHeight="15.75" x14ac:dyDescent="0.3"/>
  <cols>
    <col min="1" max="1" width="1.25" style="10" customWidth="1"/>
    <col min="2" max="2" width="5.25" style="10" bestFit="1" customWidth="1"/>
    <col min="3" max="3" width="13.875" style="10" bestFit="1" customWidth="1"/>
    <col min="4" max="4" width="25.625" style="10" customWidth="1"/>
    <col min="5" max="6" width="14.5" style="10" customWidth="1"/>
    <col min="7" max="7" width="11.125" style="10" bestFit="1" customWidth="1"/>
    <col min="8" max="8" width="8.75" style="10" bestFit="1" customWidth="1"/>
    <col min="9" max="11" width="9" style="10" bestFit="1" customWidth="1"/>
    <col min="12" max="13" width="11.625" style="48" bestFit="1" customWidth="1"/>
    <col min="14" max="14" width="12.375" style="10" bestFit="1" customWidth="1"/>
    <col min="15" max="15" width="12.375" style="10" customWidth="1"/>
    <col min="16" max="16" width="10.375" style="10" customWidth="1"/>
    <col min="17" max="17" width="9" style="16" bestFit="1" customWidth="1"/>
    <col min="18" max="18" width="14.375" style="16" bestFit="1" customWidth="1"/>
    <col min="19" max="20" width="10.625" style="10" customWidth="1"/>
    <col min="21" max="22" width="9.625" style="10" customWidth="1"/>
    <col min="23" max="240" width="9" style="10"/>
    <col min="241" max="241" width="1.25" style="10" customWidth="1"/>
    <col min="242" max="242" width="7.25" style="10" customWidth="1"/>
    <col min="243" max="243" width="11.25" style="10" bestFit="1" customWidth="1"/>
    <col min="244" max="244" width="8.5" style="10" customWidth="1"/>
    <col min="245" max="245" width="17.375" style="10" customWidth="1"/>
    <col min="246" max="246" width="2.875" style="10" customWidth="1"/>
    <col min="247" max="247" width="4.25" style="10" customWidth="1"/>
    <col min="248" max="248" width="8.25" style="10" customWidth="1"/>
    <col min="249" max="249" width="4.625" style="10" customWidth="1"/>
    <col min="250" max="250" width="4.125" style="10" customWidth="1"/>
    <col min="251" max="251" width="8.625" style="10" customWidth="1"/>
    <col min="252" max="252" width="4.125" style="10" customWidth="1"/>
    <col min="253" max="253" width="4.625" style="10" customWidth="1"/>
    <col min="254" max="254" width="9.375" style="10" customWidth="1"/>
    <col min="255" max="255" width="1.375" style="10" customWidth="1"/>
    <col min="256" max="496" width="9" style="10"/>
    <col min="497" max="497" width="1.25" style="10" customWidth="1"/>
    <col min="498" max="498" width="7.25" style="10" customWidth="1"/>
    <col min="499" max="499" width="11.25" style="10" bestFit="1" customWidth="1"/>
    <col min="500" max="500" width="8.5" style="10" customWidth="1"/>
    <col min="501" max="501" width="17.375" style="10" customWidth="1"/>
    <col min="502" max="502" width="2.875" style="10" customWidth="1"/>
    <col min="503" max="503" width="4.25" style="10" customWidth="1"/>
    <col min="504" max="504" width="8.25" style="10" customWidth="1"/>
    <col min="505" max="505" width="4.625" style="10" customWidth="1"/>
    <col min="506" max="506" width="4.125" style="10" customWidth="1"/>
    <col min="507" max="507" width="8.625" style="10" customWidth="1"/>
    <col min="508" max="508" width="4.125" style="10" customWidth="1"/>
    <col min="509" max="509" width="4.625" style="10" customWidth="1"/>
    <col min="510" max="510" width="9.375" style="10" customWidth="1"/>
    <col min="511" max="511" width="1.375" style="10" customWidth="1"/>
    <col min="512" max="752" width="9" style="10"/>
    <col min="753" max="753" width="1.25" style="10" customWidth="1"/>
    <col min="754" max="754" width="7.25" style="10" customWidth="1"/>
    <col min="755" max="755" width="11.25" style="10" bestFit="1" customWidth="1"/>
    <col min="756" max="756" width="8.5" style="10" customWidth="1"/>
    <col min="757" max="757" width="17.375" style="10" customWidth="1"/>
    <col min="758" max="758" width="2.875" style="10" customWidth="1"/>
    <col min="759" max="759" width="4.25" style="10" customWidth="1"/>
    <col min="760" max="760" width="8.25" style="10" customWidth="1"/>
    <col min="761" max="761" width="4.625" style="10" customWidth="1"/>
    <col min="762" max="762" width="4.125" style="10" customWidth="1"/>
    <col min="763" max="763" width="8.625" style="10" customWidth="1"/>
    <col min="764" max="764" width="4.125" style="10" customWidth="1"/>
    <col min="765" max="765" width="4.625" style="10" customWidth="1"/>
    <col min="766" max="766" width="9.375" style="10" customWidth="1"/>
    <col min="767" max="767" width="1.375" style="10" customWidth="1"/>
    <col min="768" max="1008" width="9" style="10"/>
    <col min="1009" max="1009" width="1.25" style="10" customWidth="1"/>
    <col min="1010" max="1010" width="7.25" style="10" customWidth="1"/>
    <col min="1011" max="1011" width="11.25" style="10" bestFit="1" customWidth="1"/>
    <col min="1012" max="1012" width="8.5" style="10" customWidth="1"/>
    <col min="1013" max="1013" width="17.375" style="10" customWidth="1"/>
    <col min="1014" max="1014" width="2.875" style="10" customWidth="1"/>
    <col min="1015" max="1015" width="4.25" style="10" customWidth="1"/>
    <col min="1016" max="1016" width="8.25" style="10" customWidth="1"/>
    <col min="1017" max="1017" width="4.625" style="10" customWidth="1"/>
    <col min="1018" max="1018" width="4.125" style="10" customWidth="1"/>
    <col min="1019" max="1019" width="8.625" style="10" customWidth="1"/>
    <col min="1020" max="1020" width="4.125" style="10" customWidth="1"/>
    <col min="1021" max="1021" width="4.625" style="10" customWidth="1"/>
    <col min="1022" max="1022" width="9.375" style="10" customWidth="1"/>
    <col min="1023" max="1023" width="1.375" style="10" customWidth="1"/>
    <col min="1024" max="1264" width="9" style="10"/>
    <col min="1265" max="1265" width="1.25" style="10" customWidth="1"/>
    <col min="1266" max="1266" width="7.25" style="10" customWidth="1"/>
    <col min="1267" max="1267" width="11.25" style="10" bestFit="1" customWidth="1"/>
    <col min="1268" max="1268" width="8.5" style="10" customWidth="1"/>
    <col min="1269" max="1269" width="17.375" style="10" customWidth="1"/>
    <col min="1270" max="1270" width="2.875" style="10" customWidth="1"/>
    <col min="1271" max="1271" width="4.25" style="10" customWidth="1"/>
    <col min="1272" max="1272" width="8.25" style="10" customWidth="1"/>
    <col min="1273" max="1273" width="4.625" style="10" customWidth="1"/>
    <col min="1274" max="1274" width="4.125" style="10" customWidth="1"/>
    <col min="1275" max="1275" width="8.625" style="10" customWidth="1"/>
    <col min="1276" max="1276" width="4.125" style="10" customWidth="1"/>
    <col min="1277" max="1277" width="4.625" style="10" customWidth="1"/>
    <col min="1278" max="1278" width="9.375" style="10" customWidth="1"/>
    <col min="1279" max="1279" width="1.375" style="10" customWidth="1"/>
    <col min="1280" max="1520" width="9" style="10"/>
    <col min="1521" max="1521" width="1.25" style="10" customWidth="1"/>
    <col min="1522" max="1522" width="7.25" style="10" customWidth="1"/>
    <col min="1523" max="1523" width="11.25" style="10" bestFit="1" customWidth="1"/>
    <col min="1524" max="1524" width="8.5" style="10" customWidth="1"/>
    <col min="1525" max="1525" width="17.375" style="10" customWidth="1"/>
    <col min="1526" max="1526" width="2.875" style="10" customWidth="1"/>
    <col min="1527" max="1527" width="4.25" style="10" customWidth="1"/>
    <col min="1528" max="1528" width="8.25" style="10" customWidth="1"/>
    <col min="1529" max="1529" width="4.625" style="10" customWidth="1"/>
    <col min="1530" max="1530" width="4.125" style="10" customWidth="1"/>
    <col min="1531" max="1531" width="8.625" style="10" customWidth="1"/>
    <col min="1532" max="1532" width="4.125" style="10" customWidth="1"/>
    <col min="1533" max="1533" width="4.625" style="10" customWidth="1"/>
    <col min="1534" max="1534" width="9.375" style="10" customWidth="1"/>
    <col min="1535" max="1535" width="1.375" style="10" customWidth="1"/>
    <col min="1536" max="1776" width="9" style="10"/>
    <col min="1777" max="1777" width="1.25" style="10" customWidth="1"/>
    <col min="1778" max="1778" width="7.25" style="10" customWidth="1"/>
    <col min="1779" max="1779" width="11.25" style="10" bestFit="1" customWidth="1"/>
    <col min="1780" max="1780" width="8.5" style="10" customWidth="1"/>
    <col min="1781" max="1781" width="17.375" style="10" customWidth="1"/>
    <col min="1782" max="1782" width="2.875" style="10" customWidth="1"/>
    <col min="1783" max="1783" width="4.25" style="10" customWidth="1"/>
    <col min="1784" max="1784" width="8.25" style="10" customWidth="1"/>
    <col min="1785" max="1785" width="4.625" style="10" customWidth="1"/>
    <col min="1786" max="1786" width="4.125" style="10" customWidth="1"/>
    <col min="1787" max="1787" width="8.625" style="10" customWidth="1"/>
    <col min="1788" max="1788" width="4.125" style="10" customWidth="1"/>
    <col min="1789" max="1789" width="4.625" style="10" customWidth="1"/>
    <col min="1790" max="1790" width="9.375" style="10" customWidth="1"/>
    <col min="1791" max="1791" width="1.375" style="10" customWidth="1"/>
    <col min="1792" max="2032" width="9" style="10"/>
    <col min="2033" max="2033" width="1.25" style="10" customWidth="1"/>
    <col min="2034" max="2034" width="7.25" style="10" customWidth="1"/>
    <col min="2035" max="2035" width="11.25" style="10" bestFit="1" customWidth="1"/>
    <col min="2036" max="2036" width="8.5" style="10" customWidth="1"/>
    <col min="2037" max="2037" width="17.375" style="10" customWidth="1"/>
    <col min="2038" max="2038" width="2.875" style="10" customWidth="1"/>
    <col min="2039" max="2039" width="4.25" style="10" customWidth="1"/>
    <col min="2040" max="2040" width="8.25" style="10" customWidth="1"/>
    <col min="2041" max="2041" width="4.625" style="10" customWidth="1"/>
    <col min="2042" max="2042" width="4.125" style="10" customWidth="1"/>
    <col min="2043" max="2043" width="8.625" style="10" customWidth="1"/>
    <col min="2044" max="2044" width="4.125" style="10" customWidth="1"/>
    <col min="2045" max="2045" width="4.625" style="10" customWidth="1"/>
    <col min="2046" max="2046" width="9.375" style="10" customWidth="1"/>
    <col min="2047" max="2047" width="1.375" style="10" customWidth="1"/>
    <col min="2048" max="2288" width="9" style="10"/>
    <col min="2289" max="2289" width="1.25" style="10" customWidth="1"/>
    <col min="2290" max="2290" width="7.25" style="10" customWidth="1"/>
    <col min="2291" max="2291" width="11.25" style="10" bestFit="1" customWidth="1"/>
    <col min="2292" max="2292" width="8.5" style="10" customWidth="1"/>
    <col min="2293" max="2293" width="17.375" style="10" customWidth="1"/>
    <col min="2294" max="2294" width="2.875" style="10" customWidth="1"/>
    <col min="2295" max="2295" width="4.25" style="10" customWidth="1"/>
    <col min="2296" max="2296" width="8.25" style="10" customWidth="1"/>
    <col min="2297" max="2297" width="4.625" style="10" customWidth="1"/>
    <col min="2298" max="2298" width="4.125" style="10" customWidth="1"/>
    <col min="2299" max="2299" width="8.625" style="10" customWidth="1"/>
    <col min="2300" max="2300" width="4.125" style="10" customWidth="1"/>
    <col min="2301" max="2301" width="4.625" style="10" customWidth="1"/>
    <col min="2302" max="2302" width="9.375" style="10" customWidth="1"/>
    <col min="2303" max="2303" width="1.375" style="10" customWidth="1"/>
    <col min="2304" max="2544" width="9" style="10"/>
    <col min="2545" max="2545" width="1.25" style="10" customWidth="1"/>
    <col min="2546" max="2546" width="7.25" style="10" customWidth="1"/>
    <col min="2547" max="2547" width="11.25" style="10" bestFit="1" customWidth="1"/>
    <col min="2548" max="2548" width="8.5" style="10" customWidth="1"/>
    <col min="2549" max="2549" width="17.375" style="10" customWidth="1"/>
    <col min="2550" max="2550" width="2.875" style="10" customWidth="1"/>
    <col min="2551" max="2551" width="4.25" style="10" customWidth="1"/>
    <col min="2552" max="2552" width="8.25" style="10" customWidth="1"/>
    <col min="2553" max="2553" width="4.625" style="10" customWidth="1"/>
    <col min="2554" max="2554" width="4.125" style="10" customWidth="1"/>
    <col min="2555" max="2555" width="8.625" style="10" customWidth="1"/>
    <col min="2556" max="2556" width="4.125" style="10" customWidth="1"/>
    <col min="2557" max="2557" width="4.625" style="10" customWidth="1"/>
    <col min="2558" max="2558" width="9.375" style="10" customWidth="1"/>
    <col min="2559" max="2559" width="1.375" style="10" customWidth="1"/>
    <col min="2560" max="2800" width="9" style="10"/>
    <col min="2801" max="2801" width="1.25" style="10" customWidth="1"/>
    <col min="2802" max="2802" width="7.25" style="10" customWidth="1"/>
    <col min="2803" max="2803" width="11.25" style="10" bestFit="1" customWidth="1"/>
    <col min="2804" max="2804" width="8.5" style="10" customWidth="1"/>
    <col min="2805" max="2805" width="17.375" style="10" customWidth="1"/>
    <col min="2806" max="2806" width="2.875" style="10" customWidth="1"/>
    <col min="2807" max="2807" width="4.25" style="10" customWidth="1"/>
    <col min="2808" max="2808" width="8.25" style="10" customWidth="1"/>
    <col min="2809" max="2809" width="4.625" style="10" customWidth="1"/>
    <col min="2810" max="2810" width="4.125" style="10" customWidth="1"/>
    <col min="2811" max="2811" width="8.625" style="10" customWidth="1"/>
    <col min="2812" max="2812" width="4.125" style="10" customWidth="1"/>
    <col min="2813" max="2813" width="4.625" style="10" customWidth="1"/>
    <col min="2814" max="2814" width="9.375" style="10" customWidth="1"/>
    <col min="2815" max="2815" width="1.375" style="10" customWidth="1"/>
    <col min="2816" max="3056" width="9" style="10"/>
    <col min="3057" max="3057" width="1.25" style="10" customWidth="1"/>
    <col min="3058" max="3058" width="7.25" style="10" customWidth="1"/>
    <col min="3059" max="3059" width="11.25" style="10" bestFit="1" customWidth="1"/>
    <col min="3060" max="3060" width="8.5" style="10" customWidth="1"/>
    <col min="3061" max="3061" width="17.375" style="10" customWidth="1"/>
    <col min="3062" max="3062" width="2.875" style="10" customWidth="1"/>
    <col min="3063" max="3063" width="4.25" style="10" customWidth="1"/>
    <col min="3064" max="3064" width="8.25" style="10" customWidth="1"/>
    <col min="3065" max="3065" width="4.625" style="10" customWidth="1"/>
    <col min="3066" max="3066" width="4.125" style="10" customWidth="1"/>
    <col min="3067" max="3067" width="8.625" style="10" customWidth="1"/>
    <col min="3068" max="3068" width="4.125" style="10" customWidth="1"/>
    <col min="3069" max="3069" width="4.625" style="10" customWidth="1"/>
    <col min="3070" max="3070" width="9.375" style="10" customWidth="1"/>
    <col min="3071" max="3071" width="1.375" style="10" customWidth="1"/>
    <col min="3072" max="3312" width="9" style="10"/>
    <col min="3313" max="3313" width="1.25" style="10" customWidth="1"/>
    <col min="3314" max="3314" width="7.25" style="10" customWidth="1"/>
    <col min="3315" max="3315" width="11.25" style="10" bestFit="1" customWidth="1"/>
    <col min="3316" max="3316" width="8.5" style="10" customWidth="1"/>
    <col min="3317" max="3317" width="17.375" style="10" customWidth="1"/>
    <col min="3318" max="3318" width="2.875" style="10" customWidth="1"/>
    <col min="3319" max="3319" width="4.25" style="10" customWidth="1"/>
    <col min="3320" max="3320" width="8.25" style="10" customWidth="1"/>
    <col min="3321" max="3321" width="4.625" style="10" customWidth="1"/>
    <col min="3322" max="3322" width="4.125" style="10" customWidth="1"/>
    <col min="3323" max="3323" width="8.625" style="10" customWidth="1"/>
    <col min="3324" max="3324" width="4.125" style="10" customWidth="1"/>
    <col min="3325" max="3325" width="4.625" style="10" customWidth="1"/>
    <col min="3326" max="3326" width="9.375" style="10" customWidth="1"/>
    <col min="3327" max="3327" width="1.375" style="10" customWidth="1"/>
    <col min="3328" max="3568" width="9" style="10"/>
    <col min="3569" max="3569" width="1.25" style="10" customWidth="1"/>
    <col min="3570" max="3570" width="7.25" style="10" customWidth="1"/>
    <col min="3571" max="3571" width="11.25" style="10" bestFit="1" customWidth="1"/>
    <col min="3572" max="3572" width="8.5" style="10" customWidth="1"/>
    <col min="3573" max="3573" width="17.375" style="10" customWidth="1"/>
    <col min="3574" max="3574" width="2.875" style="10" customWidth="1"/>
    <col min="3575" max="3575" width="4.25" style="10" customWidth="1"/>
    <col min="3576" max="3576" width="8.25" style="10" customWidth="1"/>
    <col min="3577" max="3577" width="4.625" style="10" customWidth="1"/>
    <col min="3578" max="3578" width="4.125" style="10" customWidth="1"/>
    <col min="3579" max="3579" width="8.625" style="10" customWidth="1"/>
    <col min="3580" max="3580" width="4.125" style="10" customWidth="1"/>
    <col min="3581" max="3581" width="4.625" style="10" customWidth="1"/>
    <col min="3582" max="3582" width="9.375" style="10" customWidth="1"/>
    <col min="3583" max="3583" width="1.375" style="10" customWidth="1"/>
    <col min="3584" max="3824" width="9" style="10"/>
    <col min="3825" max="3825" width="1.25" style="10" customWidth="1"/>
    <col min="3826" max="3826" width="7.25" style="10" customWidth="1"/>
    <col min="3827" max="3827" width="11.25" style="10" bestFit="1" customWidth="1"/>
    <col min="3828" max="3828" width="8.5" style="10" customWidth="1"/>
    <col min="3829" max="3829" width="17.375" style="10" customWidth="1"/>
    <col min="3830" max="3830" width="2.875" style="10" customWidth="1"/>
    <col min="3831" max="3831" width="4.25" style="10" customWidth="1"/>
    <col min="3832" max="3832" width="8.25" style="10" customWidth="1"/>
    <col min="3833" max="3833" width="4.625" style="10" customWidth="1"/>
    <col min="3834" max="3834" width="4.125" style="10" customWidth="1"/>
    <col min="3835" max="3835" width="8.625" style="10" customWidth="1"/>
    <col min="3836" max="3836" width="4.125" style="10" customWidth="1"/>
    <col min="3837" max="3837" width="4.625" style="10" customWidth="1"/>
    <col min="3838" max="3838" width="9.375" style="10" customWidth="1"/>
    <col min="3839" max="3839" width="1.375" style="10" customWidth="1"/>
    <col min="3840" max="4080" width="9" style="10"/>
    <col min="4081" max="4081" width="1.25" style="10" customWidth="1"/>
    <col min="4082" max="4082" width="7.25" style="10" customWidth="1"/>
    <col min="4083" max="4083" width="11.25" style="10" bestFit="1" customWidth="1"/>
    <col min="4084" max="4084" width="8.5" style="10" customWidth="1"/>
    <col min="4085" max="4085" width="17.375" style="10" customWidth="1"/>
    <col min="4086" max="4086" width="2.875" style="10" customWidth="1"/>
    <col min="4087" max="4087" width="4.25" style="10" customWidth="1"/>
    <col min="4088" max="4088" width="8.25" style="10" customWidth="1"/>
    <col min="4089" max="4089" width="4.625" style="10" customWidth="1"/>
    <col min="4090" max="4090" width="4.125" style="10" customWidth="1"/>
    <col min="4091" max="4091" width="8.625" style="10" customWidth="1"/>
    <col min="4092" max="4092" width="4.125" style="10" customWidth="1"/>
    <col min="4093" max="4093" width="4.625" style="10" customWidth="1"/>
    <col min="4094" max="4094" width="9.375" style="10" customWidth="1"/>
    <col min="4095" max="4095" width="1.375" style="10" customWidth="1"/>
    <col min="4096" max="4336" width="9" style="10"/>
    <col min="4337" max="4337" width="1.25" style="10" customWidth="1"/>
    <col min="4338" max="4338" width="7.25" style="10" customWidth="1"/>
    <col min="4339" max="4339" width="11.25" style="10" bestFit="1" customWidth="1"/>
    <col min="4340" max="4340" width="8.5" style="10" customWidth="1"/>
    <col min="4341" max="4341" width="17.375" style="10" customWidth="1"/>
    <col min="4342" max="4342" width="2.875" style="10" customWidth="1"/>
    <col min="4343" max="4343" width="4.25" style="10" customWidth="1"/>
    <col min="4344" max="4344" width="8.25" style="10" customWidth="1"/>
    <col min="4345" max="4345" width="4.625" style="10" customWidth="1"/>
    <col min="4346" max="4346" width="4.125" style="10" customWidth="1"/>
    <col min="4347" max="4347" width="8.625" style="10" customWidth="1"/>
    <col min="4348" max="4348" width="4.125" style="10" customWidth="1"/>
    <col min="4349" max="4349" width="4.625" style="10" customWidth="1"/>
    <col min="4350" max="4350" width="9.375" style="10" customWidth="1"/>
    <col min="4351" max="4351" width="1.375" style="10" customWidth="1"/>
    <col min="4352" max="4592" width="9" style="10"/>
    <col min="4593" max="4593" width="1.25" style="10" customWidth="1"/>
    <col min="4594" max="4594" width="7.25" style="10" customWidth="1"/>
    <col min="4595" max="4595" width="11.25" style="10" bestFit="1" customWidth="1"/>
    <col min="4596" max="4596" width="8.5" style="10" customWidth="1"/>
    <col min="4597" max="4597" width="17.375" style="10" customWidth="1"/>
    <col min="4598" max="4598" width="2.875" style="10" customWidth="1"/>
    <col min="4599" max="4599" width="4.25" style="10" customWidth="1"/>
    <col min="4600" max="4600" width="8.25" style="10" customWidth="1"/>
    <col min="4601" max="4601" width="4.625" style="10" customWidth="1"/>
    <col min="4602" max="4602" width="4.125" style="10" customWidth="1"/>
    <col min="4603" max="4603" width="8.625" style="10" customWidth="1"/>
    <col min="4604" max="4604" width="4.125" style="10" customWidth="1"/>
    <col min="4605" max="4605" width="4.625" style="10" customWidth="1"/>
    <col min="4606" max="4606" width="9.375" style="10" customWidth="1"/>
    <col min="4607" max="4607" width="1.375" style="10" customWidth="1"/>
    <col min="4608" max="4848" width="9" style="10"/>
    <col min="4849" max="4849" width="1.25" style="10" customWidth="1"/>
    <col min="4850" max="4850" width="7.25" style="10" customWidth="1"/>
    <col min="4851" max="4851" width="11.25" style="10" bestFit="1" customWidth="1"/>
    <col min="4852" max="4852" width="8.5" style="10" customWidth="1"/>
    <col min="4853" max="4853" width="17.375" style="10" customWidth="1"/>
    <col min="4854" max="4854" width="2.875" style="10" customWidth="1"/>
    <col min="4855" max="4855" width="4.25" style="10" customWidth="1"/>
    <col min="4856" max="4856" width="8.25" style="10" customWidth="1"/>
    <col min="4857" max="4857" width="4.625" style="10" customWidth="1"/>
    <col min="4858" max="4858" width="4.125" style="10" customWidth="1"/>
    <col min="4859" max="4859" width="8.625" style="10" customWidth="1"/>
    <col min="4860" max="4860" width="4.125" style="10" customWidth="1"/>
    <col min="4861" max="4861" width="4.625" style="10" customWidth="1"/>
    <col min="4862" max="4862" width="9.375" style="10" customWidth="1"/>
    <col min="4863" max="4863" width="1.375" style="10" customWidth="1"/>
    <col min="4864" max="5104" width="9" style="10"/>
    <col min="5105" max="5105" width="1.25" style="10" customWidth="1"/>
    <col min="5106" max="5106" width="7.25" style="10" customWidth="1"/>
    <col min="5107" max="5107" width="11.25" style="10" bestFit="1" customWidth="1"/>
    <col min="5108" max="5108" width="8.5" style="10" customWidth="1"/>
    <col min="5109" max="5109" width="17.375" style="10" customWidth="1"/>
    <col min="5110" max="5110" width="2.875" style="10" customWidth="1"/>
    <col min="5111" max="5111" width="4.25" style="10" customWidth="1"/>
    <col min="5112" max="5112" width="8.25" style="10" customWidth="1"/>
    <col min="5113" max="5113" width="4.625" style="10" customWidth="1"/>
    <col min="5114" max="5114" width="4.125" style="10" customWidth="1"/>
    <col min="5115" max="5115" width="8.625" style="10" customWidth="1"/>
    <col min="5116" max="5116" width="4.125" style="10" customWidth="1"/>
    <col min="5117" max="5117" width="4.625" style="10" customWidth="1"/>
    <col min="5118" max="5118" width="9.375" style="10" customWidth="1"/>
    <col min="5119" max="5119" width="1.375" style="10" customWidth="1"/>
    <col min="5120" max="5360" width="9" style="10"/>
    <col min="5361" max="5361" width="1.25" style="10" customWidth="1"/>
    <col min="5362" max="5362" width="7.25" style="10" customWidth="1"/>
    <col min="5363" max="5363" width="11.25" style="10" bestFit="1" customWidth="1"/>
    <col min="5364" max="5364" width="8.5" style="10" customWidth="1"/>
    <col min="5365" max="5365" width="17.375" style="10" customWidth="1"/>
    <col min="5366" max="5366" width="2.875" style="10" customWidth="1"/>
    <col min="5367" max="5367" width="4.25" style="10" customWidth="1"/>
    <col min="5368" max="5368" width="8.25" style="10" customWidth="1"/>
    <col min="5369" max="5369" width="4.625" style="10" customWidth="1"/>
    <col min="5370" max="5370" width="4.125" style="10" customWidth="1"/>
    <col min="5371" max="5371" width="8.625" style="10" customWidth="1"/>
    <col min="5372" max="5372" width="4.125" style="10" customWidth="1"/>
    <col min="5373" max="5373" width="4.625" style="10" customWidth="1"/>
    <col min="5374" max="5374" width="9.375" style="10" customWidth="1"/>
    <col min="5375" max="5375" width="1.375" style="10" customWidth="1"/>
    <col min="5376" max="5616" width="9" style="10"/>
    <col min="5617" max="5617" width="1.25" style="10" customWidth="1"/>
    <col min="5618" max="5618" width="7.25" style="10" customWidth="1"/>
    <col min="5619" max="5619" width="11.25" style="10" bestFit="1" customWidth="1"/>
    <col min="5620" max="5620" width="8.5" style="10" customWidth="1"/>
    <col min="5621" max="5621" width="17.375" style="10" customWidth="1"/>
    <col min="5622" max="5622" width="2.875" style="10" customWidth="1"/>
    <col min="5623" max="5623" width="4.25" style="10" customWidth="1"/>
    <col min="5624" max="5624" width="8.25" style="10" customWidth="1"/>
    <col min="5625" max="5625" width="4.625" style="10" customWidth="1"/>
    <col min="5626" max="5626" width="4.125" style="10" customWidth="1"/>
    <col min="5627" max="5627" width="8.625" style="10" customWidth="1"/>
    <col min="5628" max="5628" width="4.125" style="10" customWidth="1"/>
    <col min="5629" max="5629" width="4.625" style="10" customWidth="1"/>
    <col min="5630" max="5630" width="9.375" style="10" customWidth="1"/>
    <col min="5631" max="5631" width="1.375" style="10" customWidth="1"/>
    <col min="5632" max="5872" width="9" style="10"/>
    <col min="5873" max="5873" width="1.25" style="10" customWidth="1"/>
    <col min="5874" max="5874" width="7.25" style="10" customWidth="1"/>
    <col min="5875" max="5875" width="11.25" style="10" bestFit="1" customWidth="1"/>
    <col min="5876" max="5876" width="8.5" style="10" customWidth="1"/>
    <col min="5877" max="5877" width="17.375" style="10" customWidth="1"/>
    <col min="5878" max="5878" width="2.875" style="10" customWidth="1"/>
    <col min="5879" max="5879" width="4.25" style="10" customWidth="1"/>
    <col min="5880" max="5880" width="8.25" style="10" customWidth="1"/>
    <col min="5881" max="5881" width="4.625" style="10" customWidth="1"/>
    <col min="5882" max="5882" width="4.125" style="10" customWidth="1"/>
    <col min="5883" max="5883" width="8.625" style="10" customWidth="1"/>
    <col min="5884" max="5884" width="4.125" style="10" customWidth="1"/>
    <col min="5885" max="5885" width="4.625" style="10" customWidth="1"/>
    <col min="5886" max="5886" width="9.375" style="10" customWidth="1"/>
    <col min="5887" max="5887" width="1.375" style="10" customWidth="1"/>
    <col min="5888" max="6128" width="9" style="10"/>
    <col min="6129" max="6129" width="1.25" style="10" customWidth="1"/>
    <col min="6130" max="6130" width="7.25" style="10" customWidth="1"/>
    <col min="6131" max="6131" width="11.25" style="10" bestFit="1" customWidth="1"/>
    <col min="6132" max="6132" width="8.5" style="10" customWidth="1"/>
    <col min="6133" max="6133" width="17.375" style="10" customWidth="1"/>
    <col min="6134" max="6134" width="2.875" style="10" customWidth="1"/>
    <col min="6135" max="6135" width="4.25" style="10" customWidth="1"/>
    <col min="6136" max="6136" width="8.25" style="10" customWidth="1"/>
    <col min="6137" max="6137" width="4.625" style="10" customWidth="1"/>
    <col min="6138" max="6138" width="4.125" style="10" customWidth="1"/>
    <col min="6139" max="6139" width="8.625" style="10" customWidth="1"/>
    <col min="6140" max="6140" width="4.125" style="10" customWidth="1"/>
    <col min="6141" max="6141" width="4.625" style="10" customWidth="1"/>
    <col min="6142" max="6142" width="9.375" style="10" customWidth="1"/>
    <col min="6143" max="6143" width="1.375" style="10" customWidth="1"/>
    <col min="6144" max="6384" width="9" style="10"/>
    <col min="6385" max="6385" width="1.25" style="10" customWidth="1"/>
    <col min="6386" max="6386" width="7.25" style="10" customWidth="1"/>
    <col min="6387" max="6387" width="11.25" style="10" bestFit="1" customWidth="1"/>
    <col min="6388" max="6388" width="8.5" style="10" customWidth="1"/>
    <col min="6389" max="6389" width="17.375" style="10" customWidth="1"/>
    <col min="6390" max="6390" width="2.875" style="10" customWidth="1"/>
    <col min="6391" max="6391" width="4.25" style="10" customWidth="1"/>
    <col min="6392" max="6392" width="8.25" style="10" customWidth="1"/>
    <col min="6393" max="6393" width="4.625" style="10" customWidth="1"/>
    <col min="6394" max="6394" width="4.125" style="10" customWidth="1"/>
    <col min="6395" max="6395" width="8.625" style="10" customWidth="1"/>
    <col min="6396" max="6396" width="4.125" style="10" customWidth="1"/>
    <col min="6397" max="6397" width="4.625" style="10" customWidth="1"/>
    <col min="6398" max="6398" width="9.375" style="10" customWidth="1"/>
    <col min="6399" max="6399" width="1.375" style="10" customWidth="1"/>
    <col min="6400" max="6640" width="9" style="10"/>
    <col min="6641" max="6641" width="1.25" style="10" customWidth="1"/>
    <col min="6642" max="6642" width="7.25" style="10" customWidth="1"/>
    <col min="6643" max="6643" width="11.25" style="10" bestFit="1" customWidth="1"/>
    <col min="6644" max="6644" width="8.5" style="10" customWidth="1"/>
    <col min="6645" max="6645" width="17.375" style="10" customWidth="1"/>
    <col min="6646" max="6646" width="2.875" style="10" customWidth="1"/>
    <col min="6647" max="6647" width="4.25" style="10" customWidth="1"/>
    <col min="6648" max="6648" width="8.25" style="10" customWidth="1"/>
    <col min="6649" max="6649" width="4.625" style="10" customWidth="1"/>
    <col min="6650" max="6650" width="4.125" style="10" customWidth="1"/>
    <col min="6651" max="6651" width="8.625" style="10" customWidth="1"/>
    <col min="6652" max="6652" width="4.125" style="10" customWidth="1"/>
    <col min="6653" max="6653" width="4.625" style="10" customWidth="1"/>
    <col min="6654" max="6654" width="9.375" style="10" customWidth="1"/>
    <col min="6655" max="6655" width="1.375" style="10" customWidth="1"/>
    <col min="6656" max="6896" width="9" style="10"/>
    <col min="6897" max="6897" width="1.25" style="10" customWidth="1"/>
    <col min="6898" max="6898" width="7.25" style="10" customWidth="1"/>
    <col min="6899" max="6899" width="11.25" style="10" bestFit="1" customWidth="1"/>
    <col min="6900" max="6900" width="8.5" style="10" customWidth="1"/>
    <col min="6901" max="6901" width="17.375" style="10" customWidth="1"/>
    <col min="6902" max="6902" width="2.875" style="10" customWidth="1"/>
    <col min="6903" max="6903" width="4.25" style="10" customWidth="1"/>
    <col min="6904" max="6904" width="8.25" style="10" customWidth="1"/>
    <col min="6905" max="6905" width="4.625" style="10" customWidth="1"/>
    <col min="6906" max="6906" width="4.125" style="10" customWidth="1"/>
    <col min="6907" max="6907" width="8.625" style="10" customWidth="1"/>
    <col min="6908" max="6908" width="4.125" style="10" customWidth="1"/>
    <col min="6909" max="6909" width="4.625" style="10" customWidth="1"/>
    <col min="6910" max="6910" width="9.375" style="10" customWidth="1"/>
    <col min="6911" max="6911" width="1.375" style="10" customWidth="1"/>
    <col min="6912" max="7152" width="9" style="10"/>
    <col min="7153" max="7153" width="1.25" style="10" customWidth="1"/>
    <col min="7154" max="7154" width="7.25" style="10" customWidth="1"/>
    <col min="7155" max="7155" width="11.25" style="10" bestFit="1" customWidth="1"/>
    <col min="7156" max="7156" width="8.5" style="10" customWidth="1"/>
    <col min="7157" max="7157" width="17.375" style="10" customWidth="1"/>
    <col min="7158" max="7158" width="2.875" style="10" customWidth="1"/>
    <col min="7159" max="7159" width="4.25" style="10" customWidth="1"/>
    <col min="7160" max="7160" width="8.25" style="10" customWidth="1"/>
    <col min="7161" max="7161" width="4.625" style="10" customWidth="1"/>
    <col min="7162" max="7162" width="4.125" style="10" customWidth="1"/>
    <col min="7163" max="7163" width="8.625" style="10" customWidth="1"/>
    <col min="7164" max="7164" width="4.125" style="10" customWidth="1"/>
    <col min="7165" max="7165" width="4.625" style="10" customWidth="1"/>
    <col min="7166" max="7166" width="9.375" style="10" customWidth="1"/>
    <col min="7167" max="7167" width="1.375" style="10" customWidth="1"/>
    <col min="7168" max="7408" width="9" style="10"/>
    <col min="7409" max="7409" width="1.25" style="10" customWidth="1"/>
    <col min="7410" max="7410" width="7.25" style="10" customWidth="1"/>
    <col min="7411" max="7411" width="11.25" style="10" bestFit="1" customWidth="1"/>
    <col min="7412" max="7412" width="8.5" style="10" customWidth="1"/>
    <col min="7413" max="7413" width="17.375" style="10" customWidth="1"/>
    <col min="7414" max="7414" width="2.875" style="10" customWidth="1"/>
    <col min="7415" max="7415" width="4.25" style="10" customWidth="1"/>
    <col min="7416" max="7416" width="8.25" style="10" customWidth="1"/>
    <col min="7417" max="7417" width="4.625" style="10" customWidth="1"/>
    <col min="7418" max="7418" width="4.125" style="10" customWidth="1"/>
    <col min="7419" max="7419" width="8.625" style="10" customWidth="1"/>
    <col min="7420" max="7420" width="4.125" style="10" customWidth="1"/>
    <col min="7421" max="7421" width="4.625" style="10" customWidth="1"/>
    <col min="7422" max="7422" width="9.375" style="10" customWidth="1"/>
    <col min="7423" max="7423" width="1.375" style="10" customWidth="1"/>
    <col min="7424" max="7664" width="9" style="10"/>
    <col min="7665" max="7665" width="1.25" style="10" customWidth="1"/>
    <col min="7666" max="7666" width="7.25" style="10" customWidth="1"/>
    <col min="7667" max="7667" width="11.25" style="10" bestFit="1" customWidth="1"/>
    <col min="7668" max="7668" width="8.5" style="10" customWidth="1"/>
    <col min="7669" max="7669" width="17.375" style="10" customWidth="1"/>
    <col min="7670" max="7670" width="2.875" style="10" customWidth="1"/>
    <col min="7671" max="7671" width="4.25" style="10" customWidth="1"/>
    <col min="7672" max="7672" width="8.25" style="10" customWidth="1"/>
    <col min="7673" max="7673" width="4.625" style="10" customWidth="1"/>
    <col min="7674" max="7674" width="4.125" style="10" customWidth="1"/>
    <col min="7675" max="7675" width="8.625" style="10" customWidth="1"/>
    <col min="7676" max="7676" width="4.125" style="10" customWidth="1"/>
    <col min="7677" max="7677" width="4.625" style="10" customWidth="1"/>
    <col min="7678" max="7678" width="9.375" style="10" customWidth="1"/>
    <col min="7679" max="7679" width="1.375" style="10" customWidth="1"/>
    <col min="7680" max="7920" width="9" style="10"/>
    <col min="7921" max="7921" width="1.25" style="10" customWidth="1"/>
    <col min="7922" max="7922" width="7.25" style="10" customWidth="1"/>
    <col min="7923" max="7923" width="11.25" style="10" bestFit="1" customWidth="1"/>
    <col min="7924" max="7924" width="8.5" style="10" customWidth="1"/>
    <col min="7925" max="7925" width="17.375" style="10" customWidth="1"/>
    <col min="7926" max="7926" width="2.875" style="10" customWidth="1"/>
    <col min="7927" max="7927" width="4.25" style="10" customWidth="1"/>
    <col min="7928" max="7928" width="8.25" style="10" customWidth="1"/>
    <col min="7929" max="7929" width="4.625" style="10" customWidth="1"/>
    <col min="7930" max="7930" width="4.125" style="10" customWidth="1"/>
    <col min="7931" max="7931" width="8.625" style="10" customWidth="1"/>
    <col min="7932" max="7932" width="4.125" style="10" customWidth="1"/>
    <col min="7933" max="7933" width="4.625" style="10" customWidth="1"/>
    <col min="7934" max="7934" width="9.375" style="10" customWidth="1"/>
    <col min="7935" max="7935" width="1.375" style="10" customWidth="1"/>
    <col min="7936" max="8176" width="9" style="10"/>
    <col min="8177" max="8177" width="1.25" style="10" customWidth="1"/>
    <col min="8178" max="8178" width="7.25" style="10" customWidth="1"/>
    <col min="8179" max="8179" width="11.25" style="10" bestFit="1" customWidth="1"/>
    <col min="8180" max="8180" width="8.5" style="10" customWidth="1"/>
    <col min="8181" max="8181" width="17.375" style="10" customWidth="1"/>
    <col min="8182" max="8182" width="2.875" style="10" customWidth="1"/>
    <col min="8183" max="8183" width="4.25" style="10" customWidth="1"/>
    <col min="8184" max="8184" width="8.25" style="10" customWidth="1"/>
    <col min="8185" max="8185" width="4.625" style="10" customWidth="1"/>
    <col min="8186" max="8186" width="4.125" style="10" customWidth="1"/>
    <col min="8187" max="8187" width="8.625" style="10" customWidth="1"/>
    <col min="8188" max="8188" width="4.125" style="10" customWidth="1"/>
    <col min="8189" max="8189" width="4.625" style="10" customWidth="1"/>
    <col min="8190" max="8190" width="9.375" style="10" customWidth="1"/>
    <col min="8191" max="8191" width="1.375" style="10" customWidth="1"/>
    <col min="8192" max="8432" width="9" style="10"/>
    <col min="8433" max="8433" width="1.25" style="10" customWidth="1"/>
    <col min="8434" max="8434" width="7.25" style="10" customWidth="1"/>
    <col min="8435" max="8435" width="11.25" style="10" bestFit="1" customWidth="1"/>
    <col min="8436" max="8436" width="8.5" style="10" customWidth="1"/>
    <col min="8437" max="8437" width="17.375" style="10" customWidth="1"/>
    <col min="8438" max="8438" width="2.875" style="10" customWidth="1"/>
    <col min="8439" max="8439" width="4.25" style="10" customWidth="1"/>
    <col min="8440" max="8440" width="8.25" style="10" customWidth="1"/>
    <col min="8441" max="8441" width="4.625" style="10" customWidth="1"/>
    <col min="8442" max="8442" width="4.125" style="10" customWidth="1"/>
    <col min="8443" max="8443" width="8.625" style="10" customWidth="1"/>
    <col min="8444" max="8444" width="4.125" style="10" customWidth="1"/>
    <col min="8445" max="8445" width="4.625" style="10" customWidth="1"/>
    <col min="8446" max="8446" width="9.375" style="10" customWidth="1"/>
    <col min="8447" max="8447" width="1.375" style="10" customWidth="1"/>
    <col min="8448" max="8688" width="9" style="10"/>
    <col min="8689" max="8689" width="1.25" style="10" customWidth="1"/>
    <col min="8690" max="8690" width="7.25" style="10" customWidth="1"/>
    <col min="8691" max="8691" width="11.25" style="10" bestFit="1" customWidth="1"/>
    <col min="8692" max="8692" width="8.5" style="10" customWidth="1"/>
    <col min="8693" max="8693" width="17.375" style="10" customWidth="1"/>
    <col min="8694" max="8694" width="2.875" style="10" customWidth="1"/>
    <col min="8695" max="8695" width="4.25" style="10" customWidth="1"/>
    <col min="8696" max="8696" width="8.25" style="10" customWidth="1"/>
    <col min="8697" max="8697" width="4.625" style="10" customWidth="1"/>
    <col min="8698" max="8698" width="4.125" style="10" customWidth="1"/>
    <col min="8699" max="8699" width="8.625" style="10" customWidth="1"/>
    <col min="8700" max="8700" width="4.125" style="10" customWidth="1"/>
    <col min="8701" max="8701" width="4.625" style="10" customWidth="1"/>
    <col min="8702" max="8702" width="9.375" style="10" customWidth="1"/>
    <col min="8703" max="8703" width="1.375" style="10" customWidth="1"/>
    <col min="8704" max="8944" width="9" style="10"/>
    <col min="8945" max="8945" width="1.25" style="10" customWidth="1"/>
    <col min="8946" max="8946" width="7.25" style="10" customWidth="1"/>
    <col min="8947" max="8947" width="11.25" style="10" bestFit="1" customWidth="1"/>
    <col min="8948" max="8948" width="8.5" style="10" customWidth="1"/>
    <col min="8949" max="8949" width="17.375" style="10" customWidth="1"/>
    <col min="8950" max="8950" width="2.875" style="10" customWidth="1"/>
    <col min="8951" max="8951" width="4.25" style="10" customWidth="1"/>
    <col min="8952" max="8952" width="8.25" style="10" customWidth="1"/>
    <col min="8953" max="8953" width="4.625" style="10" customWidth="1"/>
    <col min="8954" max="8954" width="4.125" style="10" customWidth="1"/>
    <col min="8955" max="8955" width="8.625" style="10" customWidth="1"/>
    <col min="8956" max="8956" width="4.125" style="10" customWidth="1"/>
    <col min="8957" max="8957" width="4.625" style="10" customWidth="1"/>
    <col min="8958" max="8958" width="9.375" style="10" customWidth="1"/>
    <col min="8959" max="8959" width="1.375" style="10" customWidth="1"/>
    <col min="8960" max="9200" width="9" style="10"/>
    <col min="9201" max="9201" width="1.25" style="10" customWidth="1"/>
    <col min="9202" max="9202" width="7.25" style="10" customWidth="1"/>
    <col min="9203" max="9203" width="11.25" style="10" bestFit="1" customWidth="1"/>
    <col min="9204" max="9204" width="8.5" style="10" customWidth="1"/>
    <col min="9205" max="9205" width="17.375" style="10" customWidth="1"/>
    <col min="9206" max="9206" width="2.875" style="10" customWidth="1"/>
    <col min="9207" max="9207" width="4.25" style="10" customWidth="1"/>
    <col min="9208" max="9208" width="8.25" style="10" customWidth="1"/>
    <col min="9209" max="9209" width="4.625" style="10" customWidth="1"/>
    <col min="9210" max="9210" width="4.125" style="10" customWidth="1"/>
    <col min="9211" max="9211" width="8.625" style="10" customWidth="1"/>
    <col min="9212" max="9212" width="4.125" style="10" customWidth="1"/>
    <col min="9213" max="9213" width="4.625" style="10" customWidth="1"/>
    <col min="9214" max="9214" width="9.375" style="10" customWidth="1"/>
    <col min="9215" max="9215" width="1.375" style="10" customWidth="1"/>
    <col min="9216" max="9456" width="9" style="10"/>
    <col min="9457" max="9457" width="1.25" style="10" customWidth="1"/>
    <col min="9458" max="9458" width="7.25" style="10" customWidth="1"/>
    <col min="9459" max="9459" width="11.25" style="10" bestFit="1" customWidth="1"/>
    <col min="9460" max="9460" width="8.5" style="10" customWidth="1"/>
    <col min="9461" max="9461" width="17.375" style="10" customWidth="1"/>
    <col min="9462" max="9462" width="2.875" style="10" customWidth="1"/>
    <col min="9463" max="9463" width="4.25" style="10" customWidth="1"/>
    <col min="9464" max="9464" width="8.25" style="10" customWidth="1"/>
    <col min="9465" max="9465" width="4.625" style="10" customWidth="1"/>
    <col min="9466" max="9466" width="4.125" style="10" customWidth="1"/>
    <col min="9467" max="9467" width="8.625" style="10" customWidth="1"/>
    <col min="9468" max="9468" width="4.125" style="10" customWidth="1"/>
    <col min="9469" max="9469" width="4.625" style="10" customWidth="1"/>
    <col min="9470" max="9470" width="9.375" style="10" customWidth="1"/>
    <col min="9471" max="9471" width="1.375" style="10" customWidth="1"/>
    <col min="9472" max="9712" width="9" style="10"/>
    <col min="9713" max="9713" width="1.25" style="10" customWidth="1"/>
    <col min="9714" max="9714" width="7.25" style="10" customWidth="1"/>
    <col min="9715" max="9715" width="11.25" style="10" bestFit="1" customWidth="1"/>
    <col min="9716" max="9716" width="8.5" style="10" customWidth="1"/>
    <col min="9717" max="9717" width="17.375" style="10" customWidth="1"/>
    <col min="9718" max="9718" width="2.875" style="10" customWidth="1"/>
    <col min="9719" max="9719" width="4.25" style="10" customWidth="1"/>
    <col min="9720" max="9720" width="8.25" style="10" customWidth="1"/>
    <col min="9721" max="9721" width="4.625" style="10" customWidth="1"/>
    <col min="9722" max="9722" width="4.125" style="10" customWidth="1"/>
    <col min="9723" max="9723" width="8.625" style="10" customWidth="1"/>
    <col min="9724" max="9724" width="4.125" style="10" customWidth="1"/>
    <col min="9725" max="9725" width="4.625" style="10" customWidth="1"/>
    <col min="9726" max="9726" width="9.375" style="10" customWidth="1"/>
    <col min="9727" max="9727" width="1.375" style="10" customWidth="1"/>
    <col min="9728" max="9968" width="9" style="10"/>
    <col min="9969" max="9969" width="1.25" style="10" customWidth="1"/>
    <col min="9970" max="9970" width="7.25" style="10" customWidth="1"/>
    <col min="9971" max="9971" width="11.25" style="10" bestFit="1" customWidth="1"/>
    <col min="9972" max="9972" width="8.5" style="10" customWidth="1"/>
    <col min="9973" max="9973" width="17.375" style="10" customWidth="1"/>
    <col min="9974" max="9974" width="2.875" style="10" customWidth="1"/>
    <col min="9975" max="9975" width="4.25" style="10" customWidth="1"/>
    <col min="9976" max="9976" width="8.25" style="10" customWidth="1"/>
    <col min="9977" max="9977" width="4.625" style="10" customWidth="1"/>
    <col min="9978" max="9978" width="4.125" style="10" customWidth="1"/>
    <col min="9979" max="9979" width="8.625" style="10" customWidth="1"/>
    <col min="9980" max="9980" width="4.125" style="10" customWidth="1"/>
    <col min="9981" max="9981" width="4.625" style="10" customWidth="1"/>
    <col min="9982" max="9982" width="9.375" style="10" customWidth="1"/>
    <col min="9983" max="9983" width="1.375" style="10" customWidth="1"/>
    <col min="9984" max="10224" width="9" style="10"/>
    <col min="10225" max="10225" width="1.25" style="10" customWidth="1"/>
    <col min="10226" max="10226" width="7.25" style="10" customWidth="1"/>
    <col min="10227" max="10227" width="11.25" style="10" bestFit="1" customWidth="1"/>
    <col min="10228" max="10228" width="8.5" style="10" customWidth="1"/>
    <col min="10229" max="10229" width="17.375" style="10" customWidth="1"/>
    <col min="10230" max="10230" width="2.875" style="10" customWidth="1"/>
    <col min="10231" max="10231" width="4.25" style="10" customWidth="1"/>
    <col min="10232" max="10232" width="8.25" style="10" customWidth="1"/>
    <col min="10233" max="10233" width="4.625" style="10" customWidth="1"/>
    <col min="10234" max="10234" width="4.125" style="10" customWidth="1"/>
    <col min="10235" max="10235" width="8.625" style="10" customWidth="1"/>
    <col min="10236" max="10236" width="4.125" style="10" customWidth="1"/>
    <col min="10237" max="10237" width="4.625" style="10" customWidth="1"/>
    <col min="10238" max="10238" width="9.375" style="10" customWidth="1"/>
    <col min="10239" max="10239" width="1.375" style="10" customWidth="1"/>
    <col min="10240" max="10480" width="9" style="10"/>
    <col min="10481" max="10481" width="1.25" style="10" customWidth="1"/>
    <col min="10482" max="10482" width="7.25" style="10" customWidth="1"/>
    <col min="10483" max="10483" width="11.25" style="10" bestFit="1" customWidth="1"/>
    <col min="10484" max="10484" width="8.5" style="10" customWidth="1"/>
    <col min="10485" max="10485" width="17.375" style="10" customWidth="1"/>
    <col min="10486" max="10486" width="2.875" style="10" customWidth="1"/>
    <col min="10487" max="10487" width="4.25" style="10" customWidth="1"/>
    <col min="10488" max="10488" width="8.25" style="10" customWidth="1"/>
    <col min="10489" max="10489" width="4.625" style="10" customWidth="1"/>
    <col min="10490" max="10490" width="4.125" style="10" customWidth="1"/>
    <col min="10491" max="10491" width="8.625" style="10" customWidth="1"/>
    <col min="10492" max="10492" width="4.125" style="10" customWidth="1"/>
    <col min="10493" max="10493" width="4.625" style="10" customWidth="1"/>
    <col min="10494" max="10494" width="9.375" style="10" customWidth="1"/>
    <col min="10495" max="10495" width="1.375" style="10" customWidth="1"/>
    <col min="10496" max="10736" width="9" style="10"/>
    <col min="10737" max="10737" width="1.25" style="10" customWidth="1"/>
    <col min="10738" max="10738" width="7.25" style="10" customWidth="1"/>
    <col min="10739" max="10739" width="11.25" style="10" bestFit="1" customWidth="1"/>
    <col min="10740" max="10740" width="8.5" style="10" customWidth="1"/>
    <col min="10741" max="10741" width="17.375" style="10" customWidth="1"/>
    <col min="10742" max="10742" width="2.875" style="10" customWidth="1"/>
    <col min="10743" max="10743" width="4.25" style="10" customWidth="1"/>
    <col min="10744" max="10744" width="8.25" style="10" customWidth="1"/>
    <col min="10745" max="10745" width="4.625" style="10" customWidth="1"/>
    <col min="10746" max="10746" width="4.125" style="10" customWidth="1"/>
    <col min="10747" max="10747" width="8.625" style="10" customWidth="1"/>
    <col min="10748" max="10748" width="4.125" style="10" customWidth="1"/>
    <col min="10749" max="10749" width="4.625" style="10" customWidth="1"/>
    <col min="10750" max="10750" width="9.375" style="10" customWidth="1"/>
    <col min="10751" max="10751" width="1.375" style="10" customWidth="1"/>
    <col min="10752" max="10992" width="9" style="10"/>
    <col min="10993" max="10993" width="1.25" style="10" customWidth="1"/>
    <col min="10994" max="10994" width="7.25" style="10" customWidth="1"/>
    <col min="10995" max="10995" width="11.25" style="10" bestFit="1" customWidth="1"/>
    <col min="10996" max="10996" width="8.5" style="10" customWidth="1"/>
    <col min="10997" max="10997" width="17.375" style="10" customWidth="1"/>
    <col min="10998" max="10998" width="2.875" style="10" customWidth="1"/>
    <col min="10999" max="10999" width="4.25" style="10" customWidth="1"/>
    <col min="11000" max="11000" width="8.25" style="10" customWidth="1"/>
    <col min="11001" max="11001" width="4.625" style="10" customWidth="1"/>
    <col min="11002" max="11002" width="4.125" style="10" customWidth="1"/>
    <col min="11003" max="11003" width="8.625" style="10" customWidth="1"/>
    <col min="11004" max="11004" width="4.125" style="10" customWidth="1"/>
    <col min="11005" max="11005" width="4.625" style="10" customWidth="1"/>
    <col min="11006" max="11006" width="9.375" style="10" customWidth="1"/>
    <col min="11007" max="11007" width="1.375" style="10" customWidth="1"/>
    <col min="11008" max="11248" width="9" style="10"/>
    <col min="11249" max="11249" width="1.25" style="10" customWidth="1"/>
    <col min="11250" max="11250" width="7.25" style="10" customWidth="1"/>
    <col min="11251" max="11251" width="11.25" style="10" bestFit="1" customWidth="1"/>
    <col min="11252" max="11252" width="8.5" style="10" customWidth="1"/>
    <col min="11253" max="11253" width="17.375" style="10" customWidth="1"/>
    <col min="11254" max="11254" width="2.875" style="10" customWidth="1"/>
    <col min="11255" max="11255" width="4.25" style="10" customWidth="1"/>
    <col min="11256" max="11256" width="8.25" style="10" customWidth="1"/>
    <col min="11257" max="11257" width="4.625" style="10" customWidth="1"/>
    <col min="11258" max="11258" width="4.125" style="10" customWidth="1"/>
    <col min="11259" max="11259" width="8.625" style="10" customWidth="1"/>
    <col min="11260" max="11260" width="4.125" style="10" customWidth="1"/>
    <col min="11261" max="11261" width="4.625" style="10" customWidth="1"/>
    <col min="11262" max="11262" width="9.375" style="10" customWidth="1"/>
    <col min="11263" max="11263" width="1.375" style="10" customWidth="1"/>
    <col min="11264" max="11504" width="9" style="10"/>
    <col min="11505" max="11505" width="1.25" style="10" customWidth="1"/>
    <col min="11506" max="11506" width="7.25" style="10" customWidth="1"/>
    <col min="11507" max="11507" width="11.25" style="10" bestFit="1" customWidth="1"/>
    <col min="11508" max="11508" width="8.5" style="10" customWidth="1"/>
    <col min="11509" max="11509" width="17.375" style="10" customWidth="1"/>
    <col min="11510" max="11510" width="2.875" style="10" customWidth="1"/>
    <col min="11511" max="11511" width="4.25" style="10" customWidth="1"/>
    <col min="11512" max="11512" width="8.25" style="10" customWidth="1"/>
    <col min="11513" max="11513" width="4.625" style="10" customWidth="1"/>
    <col min="11514" max="11514" width="4.125" style="10" customWidth="1"/>
    <col min="11515" max="11515" width="8.625" style="10" customWidth="1"/>
    <col min="11516" max="11516" width="4.125" style="10" customWidth="1"/>
    <col min="11517" max="11517" width="4.625" style="10" customWidth="1"/>
    <col min="11518" max="11518" width="9.375" style="10" customWidth="1"/>
    <col min="11519" max="11519" width="1.375" style="10" customWidth="1"/>
    <col min="11520" max="11760" width="9" style="10"/>
    <col min="11761" max="11761" width="1.25" style="10" customWidth="1"/>
    <col min="11762" max="11762" width="7.25" style="10" customWidth="1"/>
    <col min="11763" max="11763" width="11.25" style="10" bestFit="1" customWidth="1"/>
    <col min="11764" max="11764" width="8.5" style="10" customWidth="1"/>
    <col min="11765" max="11765" width="17.375" style="10" customWidth="1"/>
    <col min="11766" max="11766" width="2.875" style="10" customWidth="1"/>
    <col min="11767" max="11767" width="4.25" style="10" customWidth="1"/>
    <col min="11768" max="11768" width="8.25" style="10" customWidth="1"/>
    <col min="11769" max="11769" width="4.625" style="10" customWidth="1"/>
    <col min="11770" max="11770" width="4.125" style="10" customWidth="1"/>
    <col min="11771" max="11771" width="8.625" style="10" customWidth="1"/>
    <col min="11772" max="11772" width="4.125" style="10" customWidth="1"/>
    <col min="11773" max="11773" width="4.625" style="10" customWidth="1"/>
    <col min="11774" max="11774" width="9.375" style="10" customWidth="1"/>
    <col min="11775" max="11775" width="1.375" style="10" customWidth="1"/>
    <col min="11776" max="12016" width="9" style="10"/>
    <col min="12017" max="12017" width="1.25" style="10" customWidth="1"/>
    <col min="12018" max="12018" width="7.25" style="10" customWidth="1"/>
    <col min="12019" max="12019" width="11.25" style="10" bestFit="1" customWidth="1"/>
    <col min="12020" max="12020" width="8.5" style="10" customWidth="1"/>
    <col min="12021" max="12021" width="17.375" style="10" customWidth="1"/>
    <col min="12022" max="12022" width="2.875" style="10" customWidth="1"/>
    <col min="12023" max="12023" width="4.25" style="10" customWidth="1"/>
    <col min="12024" max="12024" width="8.25" style="10" customWidth="1"/>
    <col min="12025" max="12025" width="4.625" style="10" customWidth="1"/>
    <col min="12026" max="12026" width="4.125" style="10" customWidth="1"/>
    <col min="12027" max="12027" width="8.625" style="10" customWidth="1"/>
    <col min="12028" max="12028" width="4.125" style="10" customWidth="1"/>
    <col min="12029" max="12029" width="4.625" style="10" customWidth="1"/>
    <col min="12030" max="12030" width="9.375" style="10" customWidth="1"/>
    <col min="12031" max="12031" width="1.375" style="10" customWidth="1"/>
    <col min="12032" max="12272" width="9" style="10"/>
    <col min="12273" max="12273" width="1.25" style="10" customWidth="1"/>
    <col min="12274" max="12274" width="7.25" style="10" customWidth="1"/>
    <col min="12275" max="12275" width="11.25" style="10" bestFit="1" customWidth="1"/>
    <col min="12276" max="12276" width="8.5" style="10" customWidth="1"/>
    <col min="12277" max="12277" width="17.375" style="10" customWidth="1"/>
    <col min="12278" max="12278" width="2.875" style="10" customWidth="1"/>
    <col min="12279" max="12279" width="4.25" style="10" customWidth="1"/>
    <col min="12280" max="12280" width="8.25" style="10" customWidth="1"/>
    <col min="12281" max="12281" width="4.625" style="10" customWidth="1"/>
    <col min="12282" max="12282" width="4.125" style="10" customWidth="1"/>
    <col min="12283" max="12283" width="8.625" style="10" customWidth="1"/>
    <col min="12284" max="12284" width="4.125" style="10" customWidth="1"/>
    <col min="12285" max="12285" width="4.625" style="10" customWidth="1"/>
    <col min="12286" max="12286" width="9.375" style="10" customWidth="1"/>
    <col min="12287" max="12287" width="1.375" style="10" customWidth="1"/>
    <col min="12288" max="12528" width="9" style="10"/>
    <col min="12529" max="12529" width="1.25" style="10" customWidth="1"/>
    <col min="12530" max="12530" width="7.25" style="10" customWidth="1"/>
    <col min="12531" max="12531" width="11.25" style="10" bestFit="1" customWidth="1"/>
    <col min="12532" max="12532" width="8.5" style="10" customWidth="1"/>
    <col min="12533" max="12533" width="17.375" style="10" customWidth="1"/>
    <col min="12534" max="12534" width="2.875" style="10" customWidth="1"/>
    <col min="12535" max="12535" width="4.25" style="10" customWidth="1"/>
    <col min="12536" max="12536" width="8.25" style="10" customWidth="1"/>
    <col min="12537" max="12537" width="4.625" style="10" customWidth="1"/>
    <col min="12538" max="12538" width="4.125" style="10" customWidth="1"/>
    <col min="12539" max="12539" width="8.625" style="10" customWidth="1"/>
    <col min="12540" max="12540" width="4.125" style="10" customWidth="1"/>
    <col min="12541" max="12541" width="4.625" style="10" customWidth="1"/>
    <col min="12542" max="12542" width="9.375" style="10" customWidth="1"/>
    <col min="12543" max="12543" width="1.375" style="10" customWidth="1"/>
    <col min="12544" max="12784" width="9" style="10"/>
    <col min="12785" max="12785" width="1.25" style="10" customWidth="1"/>
    <col min="12786" max="12786" width="7.25" style="10" customWidth="1"/>
    <col min="12787" max="12787" width="11.25" style="10" bestFit="1" customWidth="1"/>
    <col min="12788" max="12788" width="8.5" style="10" customWidth="1"/>
    <col min="12789" max="12789" width="17.375" style="10" customWidth="1"/>
    <col min="12790" max="12790" width="2.875" style="10" customWidth="1"/>
    <col min="12791" max="12791" width="4.25" style="10" customWidth="1"/>
    <col min="12792" max="12792" width="8.25" style="10" customWidth="1"/>
    <col min="12793" max="12793" width="4.625" style="10" customWidth="1"/>
    <col min="12794" max="12794" width="4.125" style="10" customWidth="1"/>
    <col min="12795" max="12795" width="8.625" style="10" customWidth="1"/>
    <col min="12796" max="12796" width="4.125" style="10" customWidth="1"/>
    <col min="12797" max="12797" width="4.625" style="10" customWidth="1"/>
    <col min="12798" max="12798" width="9.375" style="10" customWidth="1"/>
    <col min="12799" max="12799" width="1.375" style="10" customWidth="1"/>
    <col min="12800" max="13040" width="9" style="10"/>
    <col min="13041" max="13041" width="1.25" style="10" customWidth="1"/>
    <col min="13042" max="13042" width="7.25" style="10" customWidth="1"/>
    <col min="13043" max="13043" width="11.25" style="10" bestFit="1" customWidth="1"/>
    <col min="13044" max="13044" width="8.5" style="10" customWidth="1"/>
    <col min="13045" max="13045" width="17.375" style="10" customWidth="1"/>
    <col min="13046" max="13046" width="2.875" style="10" customWidth="1"/>
    <col min="13047" max="13047" width="4.25" style="10" customWidth="1"/>
    <col min="13048" max="13048" width="8.25" style="10" customWidth="1"/>
    <col min="13049" max="13049" width="4.625" style="10" customWidth="1"/>
    <col min="13050" max="13050" width="4.125" style="10" customWidth="1"/>
    <col min="13051" max="13051" width="8.625" style="10" customWidth="1"/>
    <col min="13052" max="13052" width="4.125" style="10" customWidth="1"/>
    <col min="13053" max="13053" width="4.625" style="10" customWidth="1"/>
    <col min="13054" max="13054" width="9.375" style="10" customWidth="1"/>
    <col min="13055" max="13055" width="1.375" style="10" customWidth="1"/>
    <col min="13056" max="13296" width="9" style="10"/>
    <col min="13297" max="13297" width="1.25" style="10" customWidth="1"/>
    <col min="13298" max="13298" width="7.25" style="10" customWidth="1"/>
    <col min="13299" max="13299" width="11.25" style="10" bestFit="1" customWidth="1"/>
    <col min="13300" max="13300" width="8.5" style="10" customWidth="1"/>
    <col min="13301" max="13301" width="17.375" style="10" customWidth="1"/>
    <col min="13302" max="13302" width="2.875" style="10" customWidth="1"/>
    <col min="13303" max="13303" width="4.25" style="10" customWidth="1"/>
    <col min="13304" max="13304" width="8.25" style="10" customWidth="1"/>
    <col min="13305" max="13305" width="4.625" style="10" customWidth="1"/>
    <col min="13306" max="13306" width="4.125" style="10" customWidth="1"/>
    <col min="13307" max="13307" width="8.625" style="10" customWidth="1"/>
    <col min="13308" max="13308" width="4.125" style="10" customWidth="1"/>
    <col min="13309" max="13309" width="4.625" style="10" customWidth="1"/>
    <col min="13310" max="13310" width="9.375" style="10" customWidth="1"/>
    <col min="13311" max="13311" width="1.375" style="10" customWidth="1"/>
    <col min="13312" max="13552" width="9" style="10"/>
    <col min="13553" max="13553" width="1.25" style="10" customWidth="1"/>
    <col min="13554" max="13554" width="7.25" style="10" customWidth="1"/>
    <col min="13555" max="13555" width="11.25" style="10" bestFit="1" customWidth="1"/>
    <col min="13556" max="13556" width="8.5" style="10" customWidth="1"/>
    <col min="13557" max="13557" width="17.375" style="10" customWidth="1"/>
    <col min="13558" max="13558" width="2.875" style="10" customWidth="1"/>
    <col min="13559" max="13559" width="4.25" style="10" customWidth="1"/>
    <col min="13560" max="13560" width="8.25" style="10" customWidth="1"/>
    <col min="13561" max="13561" width="4.625" style="10" customWidth="1"/>
    <col min="13562" max="13562" width="4.125" style="10" customWidth="1"/>
    <col min="13563" max="13563" width="8.625" style="10" customWidth="1"/>
    <col min="13564" max="13564" width="4.125" style="10" customWidth="1"/>
    <col min="13565" max="13565" width="4.625" style="10" customWidth="1"/>
    <col min="13566" max="13566" width="9.375" style="10" customWidth="1"/>
    <col min="13567" max="13567" width="1.375" style="10" customWidth="1"/>
    <col min="13568" max="13808" width="9" style="10"/>
    <col min="13809" max="13809" width="1.25" style="10" customWidth="1"/>
    <col min="13810" max="13810" width="7.25" style="10" customWidth="1"/>
    <col min="13811" max="13811" width="11.25" style="10" bestFit="1" customWidth="1"/>
    <col min="13812" max="13812" width="8.5" style="10" customWidth="1"/>
    <col min="13813" max="13813" width="17.375" style="10" customWidth="1"/>
    <col min="13814" max="13814" width="2.875" style="10" customWidth="1"/>
    <col min="13815" max="13815" width="4.25" style="10" customWidth="1"/>
    <col min="13816" max="13816" width="8.25" style="10" customWidth="1"/>
    <col min="13817" max="13817" width="4.625" style="10" customWidth="1"/>
    <col min="13818" max="13818" width="4.125" style="10" customWidth="1"/>
    <col min="13819" max="13819" width="8.625" style="10" customWidth="1"/>
    <col min="13820" max="13820" width="4.125" style="10" customWidth="1"/>
    <col min="13821" max="13821" width="4.625" style="10" customWidth="1"/>
    <col min="13822" max="13822" width="9.375" style="10" customWidth="1"/>
    <col min="13823" max="13823" width="1.375" style="10" customWidth="1"/>
    <col min="13824" max="14064" width="9" style="10"/>
    <col min="14065" max="14065" width="1.25" style="10" customWidth="1"/>
    <col min="14066" max="14066" width="7.25" style="10" customWidth="1"/>
    <col min="14067" max="14067" width="11.25" style="10" bestFit="1" customWidth="1"/>
    <col min="14068" max="14068" width="8.5" style="10" customWidth="1"/>
    <col min="14069" max="14069" width="17.375" style="10" customWidth="1"/>
    <col min="14070" max="14070" width="2.875" style="10" customWidth="1"/>
    <col min="14071" max="14071" width="4.25" style="10" customWidth="1"/>
    <col min="14072" max="14072" width="8.25" style="10" customWidth="1"/>
    <col min="14073" max="14073" width="4.625" style="10" customWidth="1"/>
    <col min="14074" max="14074" width="4.125" style="10" customWidth="1"/>
    <col min="14075" max="14075" width="8.625" style="10" customWidth="1"/>
    <col min="14076" max="14076" width="4.125" style="10" customWidth="1"/>
    <col min="14077" max="14077" width="4.625" style="10" customWidth="1"/>
    <col min="14078" max="14078" width="9.375" style="10" customWidth="1"/>
    <col min="14079" max="14079" width="1.375" style="10" customWidth="1"/>
    <col min="14080" max="14320" width="9" style="10"/>
    <col min="14321" max="14321" width="1.25" style="10" customWidth="1"/>
    <col min="14322" max="14322" width="7.25" style="10" customWidth="1"/>
    <col min="14323" max="14323" width="11.25" style="10" bestFit="1" customWidth="1"/>
    <col min="14324" max="14324" width="8.5" style="10" customWidth="1"/>
    <col min="14325" max="14325" width="17.375" style="10" customWidth="1"/>
    <col min="14326" max="14326" width="2.875" style="10" customWidth="1"/>
    <col min="14327" max="14327" width="4.25" style="10" customWidth="1"/>
    <col min="14328" max="14328" width="8.25" style="10" customWidth="1"/>
    <col min="14329" max="14329" width="4.625" style="10" customWidth="1"/>
    <col min="14330" max="14330" width="4.125" style="10" customWidth="1"/>
    <col min="14331" max="14331" width="8.625" style="10" customWidth="1"/>
    <col min="14332" max="14332" width="4.125" style="10" customWidth="1"/>
    <col min="14333" max="14333" width="4.625" style="10" customWidth="1"/>
    <col min="14334" max="14334" width="9.375" style="10" customWidth="1"/>
    <col min="14335" max="14335" width="1.375" style="10" customWidth="1"/>
    <col min="14336" max="14576" width="9" style="10"/>
    <col min="14577" max="14577" width="1.25" style="10" customWidth="1"/>
    <col min="14578" max="14578" width="7.25" style="10" customWidth="1"/>
    <col min="14579" max="14579" width="11.25" style="10" bestFit="1" customWidth="1"/>
    <col min="14580" max="14580" width="8.5" style="10" customWidth="1"/>
    <col min="14581" max="14581" width="17.375" style="10" customWidth="1"/>
    <col min="14582" max="14582" width="2.875" style="10" customWidth="1"/>
    <col min="14583" max="14583" width="4.25" style="10" customWidth="1"/>
    <col min="14584" max="14584" width="8.25" style="10" customWidth="1"/>
    <col min="14585" max="14585" width="4.625" style="10" customWidth="1"/>
    <col min="14586" max="14586" width="4.125" style="10" customWidth="1"/>
    <col min="14587" max="14587" width="8.625" style="10" customWidth="1"/>
    <col min="14588" max="14588" width="4.125" style="10" customWidth="1"/>
    <col min="14589" max="14589" width="4.625" style="10" customWidth="1"/>
    <col min="14590" max="14590" width="9.375" style="10" customWidth="1"/>
    <col min="14591" max="14591" width="1.375" style="10" customWidth="1"/>
    <col min="14592" max="14832" width="9" style="10"/>
    <col min="14833" max="14833" width="1.25" style="10" customWidth="1"/>
    <col min="14834" max="14834" width="7.25" style="10" customWidth="1"/>
    <col min="14835" max="14835" width="11.25" style="10" bestFit="1" customWidth="1"/>
    <col min="14836" max="14836" width="8.5" style="10" customWidth="1"/>
    <col min="14837" max="14837" width="17.375" style="10" customWidth="1"/>
    <col min="14838" max="14838" width="2.875" style="10" customWidth="1"/>
    <col min="14839" max="14839" width="4.25" style="10" customWidth="1"/>
    <col min="14840" max="14840" width="8.25" style="10" customWidth="1"/>
    <col min="14841" max="14841" width="4.625" style="10" customWidth="1"/>
    <col min="14842" max="14842" width="4.125" style="10" customWidth="1"/>
    <col min="14843" max="14843" width="8.625" style="10" customWidth="1"/>
    <col min="14844" max="14844" width="4.125" style="10" customWidth="1"/>
    <col min="14845" max="14845" width="4.625" style="10" customWidth="1"/>
    <col min="14846" max="14846" width="9.375" style="10" customWidth="1"/>
    <col min="14847" max="14847" width="1.375" style="10" customWidth="1"/>
    <col min="14848" max="15088" width="9" style="10"/>
    <col min="15089" max="15089" width="1.25" style="10" customWidth="1"/>
    <col min="15090" max="15090" width="7.25" style="10" customWidth="1"/>
    <col min="15091" max="15091" width="11.25" style="10" bestFit="1" customWidth="1"/>
    <col min="15092" max="15092" width="8.5" style="10" customWidth="1"/>
    <col min="15093" max="15093" width="17.375" style="10" customWidth="1"/>
    <col min="15094" max="15094" width="2.875" style="10" customWidth="1"/>
    <col min="15095" max="15095" width="4.25" style="10" customWidth="1"/>
    <col min="15096" max="15096" width="8.25" style="10" customWidth="1"/>
    <col min="15097" max="15097" width="4.625" style="10" customWidth="1"/>
    <col min="15098" max="15098" width="4.125" style="10" customWidth="1"/>
    <col min="15099" max="15099" width="8.625" style="10" customWidth="1"/>
    <col min="15100" max="15100" width="4.125" style="10" customWidth="1"/>
    <col min="15101" max="15101" width="4.625" style="10" customWidth="1"/>
    <col min="15102" max="15102" width="9.375" style="10" customWidth="1"/>
    <col min="15103" max="15103" width="1.375" style="10" customWidth="1"/>
    <col min="15104" max="15344" width="9" style="10"/>
    <col min="15345" max="15345" width="1.25" style="10" customWidth="1"/>
    <col min="15346" max="15346" width="7.25" style="10" customWidth="1"/>
    <col min="15347" max="15347" width="11.25" style="10" bestFit="1" customWidth="1"/>
    <col min="15348" max="15348" width="8.5" style="10" customWidth="1"/>
    <col min="15349" max="15349" width="17.375" style="10" customWidth="1"/>
    <col min="15350" max="15350" width="2.875" style="10" customWidth="1"/>
    <col min="15351" max="15351" width="4.25" style="10" customWidth="1"/>
    <col min="15352" max="15352" width="8.25" style="10" customWidth="1"/>
    <col min="15353" max="15353" width="4.625" style="10" customWidth="1"/>
    <col min="15354" max="15354" width="4.125" style="10" customWidth="1"/>
    <col min="15355" max="15355" width="8.625" style="10" customWidth="1"/>
    <col min="15356" max="15356" width="4.125" style="10" customWidth="1"/>
    <col min="15357" max="15357" width="4.625" style="10" customWidth="1"/>
    <col min="15358" max="15358" width="9.375" style="10" customWidth="1"/>
    <col min="15359" max="15359" width="1.375" style="10" customWidth="1"/>
    <col min="15360" max="15600" width="9" style="10"/>
    <col min="15601" max="15601" width="1.25" style="10" customWidth="1"/>
    <col min="15602" max="15602" width="7.25" style="10" customWidth="1"/>
    <col min="15603" max="15603" width="11.25" style="10" bestFit="1" customWidth="1"/>
    <col min="15604" max="15604" width="8.5" style="10" customWidth="1"/>
    <col min="15605" max="15605" width="17.375" style="10" customWidth="1"/>
    <col min="15606" max="15606" width="2.875" style="10" customWidth="1"/>
    <col min="15607" max="15607" width="4.25" style="10" customWidth="1"/>
    <col min="15608" max="15608" width="8.25" style="10" customWidth="1"/>
    <col min="15609" max="15609" width="4.625" style="10" customWidth="1"/>
    <col min="15610" max="15610" width="4.125" style="10" customWidth="1"/>
    <col min="15611" max="15611" width="8.625" style="10" customWidth="1"/>
    <col min="15612" max="15612" width="4.125" style="10" customWidth="1"/>
    <col min="15613" max="15613" width="4.625" style="10" customWidth="1"/>
    <col min="15614" max="15614" width="9.375" style="10" customWidth="1"/>
    <col min="15615" max="15615" width="1.375" style="10" customWidth="1"/>
    <col min="15616" max="15856" width="9" style="10"/>
    <col min="15857" max="15857" width="1.25" style="10" customWidth="1"/>
    <col min="15858" max="15858" width="7.25" style="10" customWidth="1"/>
    <col min="15859" max="15859" width="11.25" style="10" bestFit="1" customWidth="1"/>
    <col min="15860" max="15860" width="8.5" style="10" customWidth="1"/>
    <col min="15861" max="15861" width="17.375" style="10" customWidth="1"/>
    <col min="15862" max="15862" width="2.875" style="10" customWidth="1"/>
    <col min="15863" max="15863" width="4.25" style="10" customWidth="1"/>
    <col min="15864" max="15864" width="8.25" style="10" customWidth="1"/>
    <col min="15865" max="15865" width="4.625" style="10" customWidth="1"/>
    <col min="15866" max="15866" width="4.125" style="10" customWidth="1"/>
    <col min="15867" max="15867" width="8.625" style="10" customWidth="1"/>
    <col min="15868" max="15868" width="4.125" style="10" customWidth="1"/>
    <col min="15869" max="15869" width="4.625" style="10" customWidth="1"/>
    <col min="15870" max="15870" width="9.375" style="10" customWidth="1"/>
    <col min="15871" max="15871" width="1.375" style="10" customWidth="1"/>
    <col min="15872" max="16112" width="9" style="10"/>
    <col min="16113" max="16113" width="1.25" style="10" customWidth="1"/>
    <col min="16114" max="16114" width="7.25" style="10" customWidth="1"/>
    <col min="16115" max="16115" width="11.25" style="10" bestFit="1" customWidth="1"/>
    <col min="16116" max="16116" width="8.5" style="10" customWidth="1"/>
    <col min="16117" max="16117" width="17.375" style="10" customWidth="1"/>
    <col min="16118" max="16118" width="2.875" style="10" customWidth="1"/>
    <col min="16119" max="16119" width="4.25" style="10" customWidth="1"/>
    <col min="16120" max="16120" width="8.25" style="10" customWidth="1"/>
    <col min="16121" max="16121" width="4.625" style="10" customWidth="1"/>
    <col min="16122" max="16122" width="4.125" style="10" customWidth="1"/>
    <col min="16123" max="16123" width="8.625" style="10" customWidth="1"/>
    <col min="16124" max="16124" width="4.125" style="10" customWidth="1"/>
    <col min="16125" max="16125" width="4.625" style="10" customWidth="1"/>
    <col min="16126" max="16126" width="9.375" style="10" customWidth="1"/>
    <col min="16127" max="16127" width="1.375" style="10" customWidth="1"/>
    <col min="16128" max="16384" width="9" style="10"/>
  </cols>
  <sheetData>
    <row r="1" spans="1:22" s="5" customFormat="1" ht="15" customHeight="1" x14ac:dyDescent="0.25">
      <c r="A1" s="3"/>
      <c r="B1" s="4"/>
      <c r="C1" s="4"/>
      <c r="D1" s="4"/>
      <c r="E1" s="4"/>
      <c r="F1" s="4"/>
      <c r="G1" s="4"/>
      <c r="H1" s="4"/>
      <c r="I1" s="4"/>
      <c r="J1" s="4"/>
      <c r="K1" s="4"/>
      <c r="L1" s="44"/>
      <c r="M1" s="44"/>
      <c r="N1" s="4"/>
      <c r="O1" s="4"/>
      <c r="P1" s="4"/>
      <c r="Q1" s="14"/>
      <c r="R1" s="14"/>
      <c r="S1" s="4"/>
    </row>
    <row r="2" spans="1:22" s="5" customFormat="1" ht="23.45" customHeight="1" x14ac:dyDescent="0.25">
      <c r="A2" s="6"/>
      <c r="C2" s="107">
        <v>1</v>
      </c>
      <c r="D2" s="107"/>
      <c r="E2" s="107"/>
      <c r="F2" s="107"/>
      <c r="G2" s="107"/>
      <c r="H2" s="107"/>
      <c r="I2" s="107"/>
      <c r="J2" s="107"/>
      <c r="K2" s="107"/>
      <c r="L2" s="55"/>
      <c r="M2" s="55"/>
      <c r="N2" s="54"/>
      <c r="O2" s="19"/>
      <c r="P2" s="19"/>
      <c r="Q2" s="20"/>
      <c r="R2" s="7"/>
    </row>
    <row r="3" spans="1:22" s="5" customFormat="1" ht="23.45" customHeight="1" x14ac:dyDescent="0.25">
      <c r="A3" s="6"/>
      <c r="C3" s="107"/>
      <c r="D3" s="107"/>
      <c r="E3" s="107"/>
      <c r="F3" s="107"/>
      <c r="G3" s="107"/>
      <c r="H3" s="107"/>
      <c r="I3" s="107"/>
      <c r="J3" s="107"/>
      <c r="K3" s="107"/>
      <c r="L3" s="55"/>
      <c r="M3" s="55"/>
      <c r="N3" s="54"/>
      <c r="O3" s="19"/>
      <c r="P3" s="19"/>
      <c r="Q3" s="20"/>
      <c r="S3" s="78" t="s">
        <v>0</v>
      </c>
      <c r="T3" s="78"/>
      <c r="U3" s="78"/>
    </row>
    <row r="4" spans="1:22" s="5" customFormat="1" ht="16.5" customHeight="1" x14ac:dyDescent="0.25">
      <c r="A4" s="6"/>
      <c r="C4" s="7"/>
      <c r="D4" s="7"/>
      <c r="E4" s="7"/>
      <c r="F4" s="7"/>
      <c r="G4" s="7"/>
      <c r="H4" s="7"/>
      <c r="I4" s="7"/>
      <c r="J4" s="7"/>
      <c r="K4" s="7"/>
      <c r="L4" s="47"/>
      <c r="M4" s="47"/>
      <c r="N4" s="7"/>
      <c r="O4" s="7"/>
      <c r="P4" s="7"/>
      <c r="Q4" s="7"/>
      <c r="S4" s="13" t="s">
        <v>1</v>
      </c>
      <c r="T4" s="13" t="s">
        <v>7</v>
      </c>
      <c r="U4" s="13" t="s">
        <v>12</v>
      </c>
    </row>
    <row r="5" spans="1:22" s="5" customFormat="1" ht="16.5" customHeight="1" x14ac:dyDescent="0.25">
      <c r="A5" s="6"/>
      <c r="C5" s="8"/>
      <c r="D5" s="8"/>
      <c r="E5" s="8"/>
      <c r="F5" s="8"/>
      <c r="G5" s="8"/>
      <c r="H5" s="8"/>
      <c r="I5" s="8"/>
      <c r="J5" s="8"/>
      <c r="K5" s="8"/>
      <c r="L5" s="47"/>
      <c r="M5" s="47"/>
      <c r="N5" s="8"/>
      <c r="O5" s="8"/>
      <c r="P5" s="8"/>
      <c r="Q5" s="7"/>
      <c r="S5" s="79"/>
      <c r="T5" s="79"/>
      <c r="U5" s="79"/>
    </row>
    <row r="6" spans="1:22" s="5" customFormat="1" ht="23.45" customHeight="1" x14ac:dyDescent="0.25">
      <c r="A6" s="6"/>
      <c r="C6" s="9" t="s">
        <v>17</v>
      </c>
      <c r="D6" s="56">
        <f ca="1">TODAY()</f>
        <v>46077</v>
      </c>
      <c r="E6" s="21"/>
      <c r="F6" s="21"/>
      <c r="G6" s="21"/>
      <c r="H6" s="21"/>
      <c r="I6" s="8"/>
      <c r="J6" s="8"/>
      <c r="K6" s="8"/>
      <c r="L6" s="47"/>
      <c r="M6" s="47"/>
      <c r="N6" s="8"/>
      <c r="O6" s="8"/>
      <c r="P6" s="8"/>
      <c r="Q6" s="7"/>
      <c r="S6" s="80"/>
      <c r="T6" s="80"/>
      <c r="U6" s="80"/>
    </row>
    <row r="7" spans="1:22" s="5" customFormat="1" ht="23.45" customHeight="1" x14ac:dyDescent="0.25">
      <c r="A7" s="6"/>
      <c r="C7" s="22" t="s">
        <v>13</v>
      </c>
      <c r="D7" s="57" t="s">
        <v>16</v>
      </c>
      <c r="E7" s="23"/>
      <c r="F7" s="23"/>
      <c r="G7" s="23"/>
      <c r="H7" s="23"/>
      <c r="I7" s="8"/>
      <c r="J7" s="8"/>
      <c r="K7" s="8"/>
      <c r="L7" s="47"/>
      <c r="M7" s="47"/>
      <c r="N7" s="8"/>
      <c r="O7" s="8"/>
      <c r="P7" s="8"/>
      <c r="Q7" s="7"/>
      <c r="S7" s="81"/>
      <c r="T7" s="81"/>
      <c r="U7" s="81"/>
    </row>
    <row r="8" spans="1:22" s="5" customFormat="1" ht="23.45" customHeight="1" x14ac:dyDescent="0.25">
      <c r="A8" s="6"/>
      <c r="C8" s="9" t="s">
        <v>2</v>
      </c>
      <c r="D8" s="57" t="s">
        <v>3</v>
      </c>
      <c r="E8" s="23"/>
      <c r="F8" s="23"/>
      <c r="G8" s="23"/>
      <c r="H8" s="23"/>
      <c r="I8" s="8"/>
      <c r="J8" s="8"/>
      <c r="K8" s="8"/>
      <c r="L8" s="47"/>
      <c r="M8" s="47"/>
      <c r="N8" s="8"/>
      <c r="O8" s="8"/>
      <c r="P8" s="8"/>
      <c r="Q8" s="7"/>
      <c r="R8" s="7"/>
    </row>
    <row r="9" spans="1:22" s="5" customFormat="1" ht="15" customHeight="1" thickBot="1" x14ac:dyDescent="0.3">
      <c r="A9" s="6"/>
      <c r="L9" s="45"/>
      <c r="M9" s="45"/>
      <c r="Q9" s="15"/>
      <c r="R9" s="15"/>
    </row>
    <row r="10" spans="1:22" s="5" customFormat="1" ht="20.100000000000001" customHeight="1" x14ac:dyDescent="0.25">
      <c r="A10" s="6"/>
      <c r="L10" s="45"/>
      <c r="M10" s="45"/>
      <c r="Q10" s="15"/>
      <c r="R10" s="15"/>
      <c r="S10" s="99" t="s">
        <v>47</v>
      </c>
      <c r="T10" s="100"/>
    </row>
    <row r="11" spans="1:22" s="5" customFormat="1" ht="20.100000000000001" customHeight="1" x14ac:dyDescent="0.25">
      <c r="L11" s="45"/>
      <c r="M11" s="45"/>
      <c r="Q11" s="15"/>
      <c r="R11" s="15"/>
      <c r="S11" s="24" t="s">
        <v>26</v>
      </c>
      <c r="T11" s="25" t="s">
        <v>27</v>
      </c>
    </row>
    <row r="12" spans="1:22" ht="24.75" customHeight="1" thickBot="1" x14ac:dyDescent="0.3">
      <c r="B12" s="5"/>
      <c r="C12" s="5"/>
      <c r="D12" s="5"/>
      <c r="E12" s="5"/>
      <c r="F12" s="5"/>
      <c r="G12" s="5"/>
      <c r="H12" s="5"/>
      <c r="I12" s="5"/>
      <c r="J12" s="5"/>
      <c r="K12" s="5"/>
      <c r="L12" s="45"/>
      <c r="M12" s="45"/>
      <c r="N12" s="5"/>
      <c r="O12" s="5"/>
      <c r="P12" s="5"/>
      <c r="Q12" s="5"/>
      <c r="R12" s="5"/>
      <c r="S12" s="51">
        <f>SUM(S17:S47)</f>
        <v>0</v>
      </c>
      <c r="T12" s="52">
        <f>SUM(T17:T47)</f>
        <v>0</v>
      </c>
    </row>
    <row r="13" spans="1:22" ht="23.25" customHeight="1" thickBot="1" x14ac:dyDescent="0.35">
      <c r="B13" s="82" t="s">
        <v>9</v>
      </c>
      <c r="C13" s="83"/>
      <c r="D13" s="83"/>
      <c r="E13" s="83"/>
      <c r="F13" s="83"/>
      <c r="G13" s="83"/>
      <c r="H13" s="83"/>
      <c r="I13" s="83"/>
      <c r="J13" s="83"/>
      <c r="K13" s="83"/>
      <c r="L13" s="83"/>
      <c r="M13" s="83"/>
      <c r="N13" s="83"/>
      <c r="O13" s="83"/>
      <c r="P13" s="83"/>
      <c r="Q13" s="83"/>
      <c r="R13" s="84"/>
      <c r="S13" s="104" t="s">
        <v>11</v>
      </c>
      <c r="T13" s="105"/>
      <c r="U13" s="105"/>
      <c r="V13" s="106"/>
    </row>
    <row r="14" spans="1:22" ht="23.25" customHeight="1" thickBot="1" x14ac:dyDescent="0.35">
      <c r="B14" s="85" t="s">
        <v>48</v>
      </c>
      <c r="C14" s="86"/>
      <c r="D14" s="86"/>
      <c r="E14" s="86"/>
      <c r="F14" s="86"/>
      <c r="G14" s="86"/>
      <c r="H14" s="86"/>
      <c r="I14" s="86"/>
      <c r="J14" s="86"/>
      <c r="K14" s="87"/>
      <c r="L14" s="92" t="s">
        <v>49</v>
      </c>
      <c r="M14" s="93"/>
      <c r="N14" s="93"/>
      <c r="O14" s="93"/>
      <c r="P14" s="94"/>
      <c r="Q14" s="94"/>
      <c r="R14" s="95"/>
      <c r="S14" s="101" t="s">
        <v>50</v>
      </c>
      <c r="T14" s="102"/>
      <c r="U14" s="102"/>
      <c r="V14" s="103"/>
    </row>
    <row r="15" spans="1:22" ht="45" customHeight="1" x14ac:dyDescent="0.3">
      <c r="B15" s="12" t="s">
        <v>4</v>
      </c>
      <c r="C15" s="12" t="s">
        <v>5</v>
      </c>
      <c r="D15" s="89" t="s">
        <v>14</v>
      </c>
      <c r="E15" s="90"/>
      <c r="F15" s="91"/>
      <c r="G15" s="26" t="s">
        <v>18</v>
      </c>
      <c r="H15" s="17" t="s">
        <v>19</v>
      </c>
      <c r="I15" s="27" t="s">
        <v>22</v>
      </c>
      <c r="J15" s="35" t="s">
        <v>23</v>
      </c>
      <c r="K15" s="33" t="s">
        <v>30</v>
      </c>
      <c r="L15" s="49" t="s">
        <v>24</v>
      </c>
      <c r="M15" s="50" t="s">
        <v>25</v>
      </c>
      <c r="N15" s="28" t="s">
        <v>15</v>
      </c>
      <c r="O15" s="36" t="s">
        <v>8</v>
      </c>
      <c r="P15" s="37" t="s">
        <v>37</v>
      </c>
      <c r="Q15" s="37" t="s">
        <v>38</v>
      </c>
      <c r="R15" s="38" t="s">
        <v>39</v>
      </c>
      <c r="S15" s="39" t="s">
        <v>20</v>
      </c>
      <c r="T15" s="40" t="s">
        <v>21</v>
      </c>
      <c r="U15" s="88" t="s">
        <v>10</v>
      </c>
      <c r="V15" s="88"/>
    </row>
    <row r="16" spans="1:22" ht="27" customHeight="1" x14ac:dyDescent="0.3">
      <c r="B16" s="11" t="s">
        <v>31</v>
      </c>
      <c r="C16" s="29" t="s">
        <v>32</v>
      </c>
      <c r="D16" s="96" t="s">
        <v>40</v>
      </c>
      <c r="E16" s="97"/>
      <c r="F16" s="98"/>
      <c r="G16" s="58" t="s">
        <v>35</v>
      </c>
      <c r="H16" s="11" t="s">
        <v>34</v>
      </c>
      <c r="I16" s="59">
        <v>0.375</v>
      </c>
      <c r="J16" s="60">
        <v>0.58333333333333337</v>
      </c>
      <c r="K16" s="41">
        <f t="shared" ref="K16" si="0">IF(AND(I16&lt;&gt;"",J16&lt;&gt;""),ROUNDDOWN((MOD(J16-I16,1)*24)*2,0)/2,"")</f>
        <v>5</v>
      </c>
      <c r="L16" s="61">
        <v>0.375</v>
      </c>
      <c r="M16" s="60">
        <v>0.54166666666666663</v>
      </c>
      <c r="N16" s="62">
        <v>1</v>
      </c>
      <c r="O16" s="59" t="s">
        <v>33</v>
      </c>
      <c r="P16" s="63" t="s">
        <v>42</v>
      </c>
      <c r="Q16" s="63">
        <v>4</v>
      </c>
      <c r="R16" s="64" t="s">
        <v>43</v>
      </c>
      <c r="S16" s="42">
        <f>IF(AND(L16&lt;&gt;"",M16&lt;&gt;""),IF(P16="입력하세요","대체휴무지급  여부 입력",ROUNDDOWN(MAX(0,((M16-L16)*24)-IF(N16&lt;&gt;"",N16,0)-IF(Q16&lt;&gt;"",Q16,0))*2,0)/2),"")</f>
        <v>0</v>
      </c>
      <c r="T16" s="43">
        <f>IF(S16&lt;&gt;"",S16,"")</f>
        <v>0</v>
      </c>
      <c r="U16" s="74"/>
      <c r="V16" s="75"/>
    </row>
    <row r="17" spans="2:22" ht="27" customHeight="1" x14ac:dyDescent="0.3">
      <c r="B17" s="11">
        <v>1</v>
      </c>
      <c r="C17" s="29">
        <f t="shared" ref="C17:C44" ca="1" si="1">DATE(YEAR($D$6),$C$2,$B17)</f>
        <v>46023</v>
      </c>
      <c r="D17" s="96"/>
      <c r="E17" s="97"/>
      <c r="F17" s="98"/>
      <c r="G17" s="58"/>
      <c r="H17" s="11" t="str">
        <f t="shared" ref="H17:H47" si="2">IF(G17="","",IF(C17&lt;G17,"사후","사전"))</f>
        <v/>
      </c>
      <c r="I17" s="59"/>
      <c r="J17" s="60"/>
      <c r="K17" s="41" t="str">
        <f>IF(AND(I17&lt;&gt;"",J17&lt;&gt;""),ROUNDDOWN((MOD(J17-I17,1)*24)*2,0)/2,"")</f>
        <v/>
      </c>
      <c r="L17" s="61"/>
      <c r="M17" s="60"/>
      <c r="N17" s="65"/>
      <c r="O17" s="59"/>
      <c r="P17" s="63" t="s">
        <v>41</v>
      </c>
      <c r="Q17" s="63"/>
      <c r="R17" s="64"/>
      <c r="S17" s="42" t="str">
        <f t="shared" ref="S17:S47" si="3">IF(AND(L17&lt;&gt;"",M17&lt;&gt;""),IF(P17="입력하세요","대체휴무지급  여부 입력",ROUNDDOWN(MAX(0,((M17-L17)*24)-IF(N17&lt;&gt;"",N17,0)-IF(Q17&lt;&gt;"",Q17,0))*2,0)/2),"")</f>
        <v/>
      </c>
      <c r="T17" s="43" t="str">
        <f t="shared" ref="T17:T47" si="4">IF(S17&lt;&gt;"",S17,"")</f>
        <v/>
      </c>
      <c r="U17" s="74"/>
      <c r="V17" s="75"/>
    </row>
    <row r="18" spans="2:22" ht="27" customHeight="1" x14ac:dyDescent="0.3">
      <c r="B18" s="11">
        <v>2</v>
      </c>
      <c r="C18" s="29">
        <f t="shared" ca="1" si="1"/>
        <v>46024</v>
      </c>
      <c r="D18" s="96"/>
      <c r="E18" s="97"/>
      <c r="F18" s="98"/>
      <c r="G18" s="58"/>
      <c r="H18" s="11" t="str">
        <f t="shared" si="2"/>
        <v/>
      </c>
      <c r="I18" s="59"/>
      <c r="J18" s="60"/>
      <c r="K18" s="41" t="str">
        <f t="shared" ref="K18:K46" si="5">IF(AND(I18&lt;&gt;"",J18&lt;&gt;""),ROUNDDOWN((MOD(J18-I18,1)*24)*2,0)/2,"")</f>
        <v/>
      </c>
      <c r="L18" s="59"/>
      <c r="M18" s="60"/>
      <c r="N18" s="65"/>
      <c r="O18" s="59"/>
      <c r="P18" s="63" t="s">
        <v>41</v>
      </c>
      <c r="Q18" s="63"/>
      <c r="R18" s="64"/>
      <c r="S18" s="42" t="str">
        <f>IF(AND(L18&lt;&gt;"",M18&lt;&gt;""),IF(P18="입력하세요","대체휴무지급  여부 입력",ROUNDDOWN(MAX(0,((M18-L18)*24)-IF(N18&lt;&gt;"",N18,0)-IF(Q18&lt;&gt;"",Q18,0))*2,0)/2),"")</f>
        <v/>
      </c>
      <c r="T18" s="43" t="str">
        <f t="shared" si="4"/>
        <v/>
      </c>
      <c r="U18" s="74"/>
      <c r="V18" s="75"/>
    </row>
    <row r="19" spans="2:22" ht="27" customHeight="1" x14ac:dyDescent="0.3">
      <c r="B19" s="11">
        <v>3</v>
      </c>
      <c r="C19" s="29">
        <f t="shared" ca="1" si="1"/>
        <v>46025</v>
      </c>
      <c r="D19" s="96"/>
      <c r="E19" s="97"/>
      <c r="F19" s="98"/>
      <c r="G19" s="58"/>
      <c r="H19" s="11" t="str">
        <f t="shared" si="2"/>
        <v/>
      </c>
      <c r="I19" s="59"/>
      <c r="J19" s="60"/>
      <c r="K19" s="41" t="str">
        <f t="shared" si="5"/>
        <v/>
      </c>
      <c r="L19" s="61"/>
      <c r="M19" s="60"/>
      <c r="N19" s="65"/>
      <c r="O19" s="59"/>
      <c r="P19" s="63" t="s">
        <v>36</v>
      </c>
      <c r="Q19" s="63"/>
      <c r="R19" s="64"/>
      <c r="S19" s="42" t="str">
        <f t="shared" si="3"/>
        <v/>
      </c>
      <c r="T19" s="43" t="str">
        <f t="shared" si="4"/>
        <v/>
      </c>
      <c r="U19" s="74"/>
      <c r="V19" s="75"/>
    </row>
    <row r="20" spans="2:22" ht="27" customHeight="1" x14ac:dyDescent="0.3">
      <c r="B20" s="11">
        <v>4</v>
      </c>
      <c r="C20" s="29">
        <f ca="1">DATE(YEAR($D$6),$C$2,$B20)</f>
        <v>46026</v>
      </c>
      <c r="D20" s="96"/>
      <c r="E20" s="97"/>
      <c r="F20" s="98"/>
      <c r="G20" s="58"/>
      <c r="H20" s="11" t="str">
        <f t="shared" si="2"/>
        <v/>
      </c>
      <c r="I20" s="59"/>
      <c r="J20" s="60"/>
      <c r="K20" s="41" t="str">
        <f t="shared" si="5"/>
        <v/>
      </c>
      <c r="L20" s="61"/>
      <c r="M20" s="59"/>
      <c r="N20" s="65"/>
      <c r="O20" s="59"/>
      <c r="P20" s="63" t="s">
        <v>36</v>
      </c>
      <c r="Q20" s="63"/>
      <c r="R20" s="64"/>
      <c r="S20" s="42" t="str">
        <f t="shared" si="3"/>
        <v/>
      </c>
      <c r="T20" s="43" t="str">
        <f t="shared" si="4"/>
        <v/>
      </c>
      <c r="U20" s="74"/>
      <c r="V20" s="75"/>
    </row>
    <row r="21" spans="2:22" ht="27" customHeight="1" x14ac:dyDescent="0.3">
      <c r="B21" s="11">
        <v>5</v>
      </c>
      <c r="C21" s="29">
        <f t="shared" ca="1" si="1"/>
        <v>46027</v>
      </c>
      <c r="D21" s="74" t="s">
        <v>29</v>
      </c>
      <c r="E21" s="108"/>
      <c r="F21" s="75"/>
      <c r="G21" s="58">
        <v>46024</v>
      </c>
      <c r="H21" s="11" t="str">
        <f t="shared" ca="1" si="2"/>
        <v>사전</v>
      </c>
      <c r="I21" s="59">
        <v>0.79166666666666663</v>
      </c>
      <c r="J21" s="60">
        <v>0.91666666666666663</v>
      </c>
      <c r="K21" s="41">
        <f>IF(AND(I21&lt;&gt;"",J21&lt;&gt;""),ROUNDDOWN((MOD(J21-I21,1)*24)*2,0)/2,"")</f>
        <v>3</v>
      </c>
      <c r="L21" s="61"/>
      <c r="M21" s="60"/>
      <c r="N21" s="65"/>
      <c r="O21" s="59"/>
      <c r="P21" s="63" t="s">
        <v>41</v>
      </c>
      <c r="Q21" s="63"/>
      <c r="R21" s="64"/>
      <c r="S21" s="42" t="str">
        <f t="shared" si="3"/>
        <v/>
      </c>
      <c r="T21" s="43" t="str">
        <f t="shared" si="4"/>
        <v/>
      </c>
      <c r="U21" s="74"/>
      <c r="V21" s="75"/>
    </row>
    <row r="22" spans="2:22" ht="27" customHeight="1" x14ac:dyDescent="0.3">
      <c r="B22" s="11">
        <v>6</v>
      </c>
      <c r="C22" s="29">
        <f t="shared" ca="1" si="1"/>
        <v>46028</v>
      </c>
      <c r="D22" s="74"/>
      <c r="E22" s="108"/>
      <c r="F22" s="75"/>
      <c r="G22" s="58"/>
      <c r="H22" s="11" t="str">
        <f t="shared" si="2"/>
        <v/>
      </c>
      <c r="I22" s="59"/>
      <c r="J22" s="60"/>
      <c r="K22" s="41" t="str">
        <f t="shared" si="5"/>
        <v/>
      </c>
      <c r="L22" s="61"/>
      <c r="M22" s="59"/>
      <c r="N22" s="65"/>
      <c r="O22" s="59"/>
      <c r="P22" s="63" t="s">
        <v>36</v>
      </c>
      <c r="Q22" s="63"/>
      <c r="R22" s="64"/>
      <c r="S22" s="42" t="str">
        <f t="shared" si="3"/>
        <v/>
      </c>
      <c r="T22" s="43" t="str">
        <f t="shared" si="4"/>
        <v/>
      </c>
      <c r="U22" s="74"/>
      <c r="V22" s="75"/>
    </row>
    <row r="23" spans="2:22" ht="27" customHeight="1" x14ac:dyDescent="0.3">
      <c r="B23" s="11">
        <v>7</v>
      </c>
      <c r="C23" s="29">
        <f t="shared" ca="1" si="1"/>
        <v>46029</v>
      </c>
      <c r="D23" s="74" t="s">
        <v>28</v>
      </c>
      <c r="E23" s="108"/>
      <c r="F23" s="75"/>
      <c r="G23" s="58">
        <v>46030</v>
      </c>
      <c r="H23" s="11" t="str">
        <f t="shared" ca="1" si="2"/>
        <v>사후</v>
      </c>
      <c r="I23" s="59">
        <v>0.75</v>
      </c>
      <c r="J23" s="60">
        <v>0.83333333333333337</v>
      </c>
      <c r="K23" s="41">
        <f t="shared" si="5"/>
        <v>2</v>
      </c>
      <c r="L23" s="61"/>
      <c r="M23" s="59"/>
      <c r="N23" s="65"/>
      <c r="O23" s="59"/>
      <c r="P23" s="63" t="s">
        <v>36</v>
      </c>
      <c r="Q23" s="63"/>
      <c r="R23" s="64"/>
      <c r="S23" s="42" t="str">
        <f t="shared" si="3"/>
        <v/>
      </c>
      <c r="T23" s="43" t="str">
        <f t="shared" si="4"/>
        <v/>
      </c>
      <c r="U23" s="74"/>
      <c r="V23" s="75"/>
    </row>
    <row r="24" spans="2:22" ht="27" customHeight="1" x14ac:dyDescent="0.3">
      <c r="B24" s="11">
        <v>8</v>
      </c>
      <c r="C24" s="29">
        <f t="shared" ca="1" si="1"/>
        <v>46030</v>
      </c>
      <c r="D24" s="96"/>
      <c r="E24" s="97"/>
      <c r="F24" s="98"/>
      <c r="G24" s="58"/>
      <c r="H24" s="11" t="str">
        <f t="shared" si="2"/>
        <v/>
      </c>
      <c r="I24" s="59"/>
      <c r="J24" s="60"/>
      <c r="K24" s="41" t="str">
        <f t="shared" si="5"/>
        <v/>
      </c>
      <c r="L24" s="61"/>
      <c r="M24" s="59"/>
      <c r="N24" s="65"/>
      <c r="O24" s="59"/>
      <c r="P24" s="63" t="s">
        <v>36</v>
      </c>
      <c r="Q24" s="63"/>
      <c r="R24" s="64"/>
      <c r="S24" s="42" t="str">
        <f t="shared" si="3"/>
        <v/>
      </c>
      <c r="T24" s="43" t="str">
        <f t="shared" si="4"/>
        <v/>
      </c>
      <c r="U24" s="74"/>
      <c r="V24" s="75"/>
    </row>
    <row r="25" spans="2:22" ht="27" customHeight="1" x14ac:dyDescent="0.3">
      <c r="B25" s="11">
        <v>9</v>
      </c>
      <c r="C25" s="29">
        <f t="shared" ca="1" si="1"/>
        <v>46031</v>
      </c>
      <c r="D25" s="96"/>
      <c r="E25" s="97"/>
      <c r="F25" s="98"/>
      <c r="G25" s="58"/>
      <c r="H25" s="11" t="str">
        <f t="shared" si="2"/>
        <v/>
      </c>
      <c r="I25" s="59"/>
      <c r="J25" s="60"/>
      <c r="K25" s="41" t="str">
        <f t="shared" si="5"/>
        <v/>
      </c>
      <c r="L25" s="61"/>
      <c r="M25" s="59"/>
      <c r="N25" s="65"/>
      <c r="O25" s="59"/>
      <c r="P25" s="63" t="s">
        <v>36</v>
      </c>
      <c r="Q25" s="63"/>
      <c r="R25" s="64"/>
      <c r="S25" s="42" t="str">
        <f t="shared" si="3"/>
        <v/>
      </c>
      <c r="T25" s="43" t="str">
        <f t="shared" si="4"/>
        <v/>
      </c>
      <c r="U25" s="74"/>
      <c r="V25" s="75"/>
    </row>
    <row r="26" spans="2:22" ht="27" customHeight="1" x14ac:dyDescent="0.3">
      <c r="B26" s="11">
        <v>10</v>
      </c>
      <c r="C26" s="29">
        <f t="shared" ca="1" si="1"/>
        <v>46032</v>
      </c>
      <c r="D26" s="96"/>
      <c r="E26" s="97"/>
      <c r="F26" s="98"/>
      <c r="G26" s="58"/>
      <c r="H26" s="11" t="str">
        <f t="shared" si="2"/>
        <v/>
      </c>
      <c r="I26" s="59"/>
      <c r="J26" s="60"/>
      <c r="K26" s="41" t="str">
        <f t="shared" si="5"/>
        <v/>
      </c>
      <c r="L26" s="61"/>
      <c r="M26" s="60"/>
      <c r="N26" s="65"/>
      <c r="O26" s="59"/>
      <c r="P26" s="63" t="s">
        <v>36</v>
      </c>
      <c r="Q26" s="63"/>
      <c r="R26" s="64"/>
      <c r="S26" s="42" t="str">
        <f t="shared" si="3"/>
        <v/>
      </c>
      <c r="T26" s="43" t="str">
        <f t="shared" si="4"/>
        <v/>
      </c>
      <c r="U26" s="74"/>
      <c r="V26" s="75"/>
    </row>
    <row r="27" spans="2:22" ht="27" customHeight="1" x14ac:dyDescent="0.3">
      <c r="B27" s="11">
        <v>11</v>
      </c>
      <c r="C27" s="29">
        <f t="shared" ca="1" si="1"/>
        <v>46033</v>
      </c>
      <c r="D27" s="96"/>
      <c r="E27" s="97"/>
      <c r="F27" s="98"/>
      <c r="G27" s="58"/>
      <c r="H27" s="11" t="str">
        <f t="shared" si="2"/>
        <v/>
      </c>
      <c r="I27" s="59"/>
      <c r="J27" s="60"/>
      <c r="K27" s="41" t="str">
        <f t="shared" si="5"/>
        <v/>
      </c>
      <c r="L27" s="61"/>
      <c r="M27" s="59"/>
      <c r="N27" s="65"/>
      <c r="O27" s="59"/>
      <c r="P27" s="63" t="s">
        <v>36</v>
      </c>
      <c r="Q27" s="63"/>
      <c r="R27" s="64"/>
      <c r="S27" s="42" t="str">
        <f t="shared" si="3"/>
        <v/>
      </c>
      <c r="T27" s="43" t="str">
        <f t="shared" si="4"/>
        <v/>
      </c>
      <c r="U27" s="74"/>
      <c r="V27" s="75"/>
    </row>
    <row r="28" spans="2:22" ht="27" customHeight="1" x14ac:dyDescent="0.3">
      <c r="B28" s="11">
        <v>12</v>
      </c>
      <c r="C28" s="29">
        <f t="shared" ca="1" si="1"/>
        <v>46034</v>
      </c>
      <c r="D28" s="96"/>
      <c r="E28" s="97"/>
      <c r="F28" s="98"/>
      <c r="G28" s="58"/>
      <c r="H28" s="11" t="str">
        <f t="shared" si="2"/>
        <v/>
      </c>
      <c r="I28" s="59"/>
      <c r="J28" s="60"/>
      <c r="K28" s="41" t="str">
        <f t="shared" si="5"/>
        <v/>
      </c>
      <c r="L28" s="61"/>
      <c r="M28" s="59"/>
      <c r="N28" s="65"/>
      <c r="O28" s="59"/>
      <c r="P28" s="63" t="s">
        <v>36</v>
      </c>
      <c r="Q28" s="63"/>
      <c r="R28" s="64"/>
      <c r="S28" s="42" t="str">
        <f t="shared" si="3"/>
        <v/>
      </c>
      <c r="T28" s="43" t="str">
        <f t="shared" si="4"/>
        <v/>
      </c>
      <c r="U28" s="74"/>
      <c r="V28" s="75"/>
    </row>
    <row r="29" spans="2:22" ht="27" customHeight="1" x14ac:dyDescent="0.3">
      <c r="B29" s="11">
        <v>13</v>
      </c>
      <c r="C29" s="29">
        <f t="shared" ca="1" si="1"/>
        <v>46035</v>
      </c>
      <c r="D29" s="96"/>
      <c r="E29" s="97"/>
      <c r="F29" s="98"/>
      <c r="G29" s="58"/>
      <c r="H29" s="11" t="str">
        <f t="shared" si="2"/>
        <v/>
      </c>
      <c r="I29" s="59"/>
      <c r="J29" s="60"/>
      <c r="K29" s="41" t="str">
        <f t="shared" si="5"/>
        <v/>
      </c>
      <c r="L29" s="61"/>
      <c r="M29" s="59"/>
      <c r="N29" s="65"/>
      <c r="O29" s="59"/>
      <c r="P29" s="63" t="s">
        <v>36</v>
      </c>
      <c r="Q29" s="63"/>
      <c r="R29" s="64"/>
      <c r="S29" s="42" t="str">
        <f t="shared" si="3"/>
        <v/>
      </c>
      <c r="T29" s="43" t="str">
        <f t="shared" si="4"/>
        <v/>
      </c>
      <c r="U29" s="74"/>
      <c r="V29" s="75"/>
    </row>
    <row r="30" spans="2:22" ht="27" customHeight="1" x14ac:dyDescent="0.3">
      <c r="B30" s="11">
        <v>14</v>
      </c>
      <c r="C30" s="29">
        <f t="shared" ca="1" si="1"/>
        <v>46036</v>
      </c>
      <c r="D30" s="96"/>
      <c r="E30" s="97"/>
      <c r="F30" s="98"/>
      <c r="G30" s="58"/>
      <c r="H30" s="11" t="str">
        <f t="shared" si="2"/>
        <v/>
      </c>
      <c r="I30" s="59"/>
      <c r="J30" s="60"/>
      <c r="K30" s="41" t="str">
        <f t="shared" si="5"/>
        <v/>
      </c>
      <c r="L30" s="61"/>
      <c r="M30" s="59"/>
      <c r="N30" s="65"/>
      <c r="O30" s="59"/>
      <c r="P30" s="63" t="s">
        <v>36</v>
      </c>
      <c r="Q30" s="63"/>
      <c r="R30" s="64"/>
      <c r="S30" s="42" t="str">
        <f t="shared" si="3"/>
        <v/>
      </c>
      <c r="T30" s="43" t="str">
        <f t="shared" si="4"/>
        <v/>
      </c>
      <c r="U30" s="74"/>
      <c r="V30" s="75"/>
    </row>
    <row r="31" spans="2:22" ht="27" customHeight="1" x14ac:dyDescent="0.3">
      <c r="B31" s="11">
        <v>15</v>
      </c>
      <c r="C31" s="29">
        <f t="shared" ca="1" si="1"/>
        <v>46037</v>
      </c>
      <c r="D31" s="96"/>
      <c r="E31" s="97"/>
      <c r="F31" s="98"/>
      <c r="G31" s="58"/>
      <c r="H31" s="11" t="str">
        <f t="shared" si="2"/>
        <v/>
      </c>
      <c r="I31" s="59"/>
      <c r="J31" s="60"/>
      <c r="K31" s="41" t="str">
        <f t="shared" si="5"/>
        <v/>
      </c>
      <c r="L31" s="61"/>
      <c r="M31" s="59"/>
      <c r="N31" s="65"/>
      <c r="O31" s="59"/>
      <c r="P31" s="63" t="s">
        <v>36</v>
      </c>
      <c r="Q31" s="63"/>
      <c r="R31" s="64"/>
      <c r="S31" s="42" t="str">
        <f t="shared" si="3"/>
        <v/>
      </c>
      <c r="T31" s="43" t="str">
        <f t="shared" si="4"/>
        <v/>
      </c>
      <c r="U31" s="74"/>
      <c r="V31" s="75"/>
    </row>
    <row r="32" spans="2:22" ht="27" customHeight="1" x14ac:dyDescent="0.3">
      <c r="B32" s="11">
        <v>16</v>
      </c>
      <c r="C32" s="29">
        <f t="shared" ca="1" si="1"/>
        <v>46038</v>
      </c>
      <c r="D32" s="96"/>
      <c r="E32" s="97"/>
      <c r="F32" s="98"/>
      <c r="G32" s="58"/>
      <c r="H32" s="11" t="str">
        <f t="shared" si="2"/>
        <v/>
      </c>
      <c r="I32" s="59"/>
      <c r="J32" s="60"/>
      <c r="K32" s="41" t="str">
        <f t="shared" si="5"/>
        <v/>
      </c>
      <c r="L32" s="61"/>
      <c r="M32" s="59"/>
      <c r="N32" s="65"/>
      <c r="O32" s="59"/>
      <c r="P32" s="63" t="s">
        <v>36</v>
      </c>
      <c r="Q32" s="63"/>
      <c r="R32" s="64"/>
      <c r="S32" s="42" t="str">
        <f t="shared" si="3"/>
        <v/>
      </c>
      <c r="T32" s="43" t="str">
        <f t="shared" si="4"/>
        <v/>
      </c>
      <c r="U32" s="74"/>
      <c r="V32" s="75"/>
    </row>
    <row r="33" spans="2:22" ht="27" customHeight="1" x14ac:dyDescent="0.3">
      <c r="B33" s="11">
        <v>17</v>
      </c>
      <c r="C33" s="29">
        <f t="shared" ca="1" si="1"/>
        <v>46039</v>
      </c>
      <c r="D33" s="96"/>
      <c r="E33" s="97"/>
      <c r="F33" s="98"/>
      <c r="G33" s="58"/>
      <c r="H33" s="11" t="str">
        <f t="shared" si="2"/>
        <v/>
      </c>
      <c r="I33" s="59"/>
      <c r="J33" s="60"/>
      <c r="K33" s="41" t="str">
        <f t="shared" si="5"/>
        <v/>
      </c>
      <c r="L33" s="61"/>
      <c r="M33" s="59"/>
      <c r="N33" s="65"/>
      <c r="O33" s="59"/>
      <c r="P33" s="63" t="s">
        <v>36</v>
      </c>
      <c r="Q33" s="63"/>
      <c r="R33" s="64"/>
      <c r="S33" s="42" t="str">
        <f t="shared" si="3"/>
        <v/>
      </c>
      <c r="T33" s="43" t="str">
        <f t="shared" si="4"/>
        <v/>
      </c>
      <c r="U33" s="74"/>
      <c r="V33" s="75"/>
    </row>
    <row r="34" spans="2:22" ht="27" customHeight="1" x14ac:dyDescent="0.3">
      <c r="B34" s="11">
        <v>18</v>
      </c>
      <c r="C34" s="29">
        <f t="shared" ca="1" si="1"/>
        <v>46040</v>
      </c>
      <c r="D34" s="96"/>
      <c r="E34" s="97"/>
      <c r="F34" s="98"/>
      <c r="G34" s="58"/>
      <c r="H34" s="11" t="str">
        <f t="shared" si="2"/>
        <v/>
      </c>
      <c r="I34" s="59"/>
      <c r="J34" s="60"/>
      <c r="K34" s="41" t="str">
        <f t="shared" si="5"/>
        <v/>
      </c>
      <c r="L34" s="61"/>
      <c r="M34" s="59"/>
      <c r="N34" s="65"/>
      <c r="O34" s="59"/>
      <c r="P34" s="63" t="s">
        <v>36</v>
      </c>
      <c r="Q34" s="63"/>
      <c r="R34" s="64"/>
      <c r="S34" s="42" t="str">
        <f t="shared" si="3"/>
        <v/>
      </c>
      <c r="T34" s="43" t="str">
        <f t="shared" si="4"/>
        <v/>
      </c>
      <c r="U34" s="74"/>
      <c r="V34" s="75"/>
    </row>
    <row r="35" spans="2:22" ht="27" customHeight="1" x14ac:dyDescent="0.3">
      <c r="B35" s="11">
        <v>19</v>
      </c>
      <c r="C35" s="29">
        <f t="shared" ca="1" si="1"/>
        <v>46041</v>
      </c>
      <c r="D35" s="96"/>
      <c r="E35" s="97"/>
      <c r="F35" s="98"/>
      <c r="G35" s="58"/>
      <c r="H35" s="11" t="str">
        <f t="shared" si="2"/>
        <v/>
      </c>
      <c r="I35" s="59"/>
      <c r="J35" s="60"/>
      <c r="K35" s="41" t="str">
        <f t="shared" si="5"/>
        <v/>
      </c>
      <c r="L35" s="61"/>
      <c r="M35" s="59"/>
      <c r="N35" s="65"/>
      <c r="O35" s="59"/>
      <c r="P35" s="63" t="s">
        <v>36</v>
      </c>
      <c r="Q35" s="63"/>
      <c r="R35" s="64"/>
      <c r="S35" s="42" t="str">
        <f t="shared" si="3"/>
        <v/>
      </c>
      <c r="T35" s="43" t="str">
        <f t="shared" si="4"/>
        <v/>
      </c>
      <c r="U35" s="74"/>
      <c r="V35" s="75"/>
    </row>
    <row r="36" spans="2:22" ht="27" customHeight="1" x14ac:dyDescent="0.3">
      <c r="B36" s="11">
        <v>20</v>
      </c>
      <c r="C36" s="29">
        <f t="shared" ca="1" si="1"/>
        <v>46042</v>
      </c>
      <c r="D36" s="96"/>
      <c r="E36" s="97"/>
      <c r="F36" s="98"/>
      <c r="G36" s="58"/>
      <c r="H36" s="11" t="str">
        <f t="shared" si="2"/>
        <v/>
      </c>
      <c r="I36" s="59"/>
      <c r="J36" s="60"/>
      <c r="K36" s="41" t="str">
        <f t="shared" si="5"/>
        <v/>
      </c>
      <c r="L36" s="61"/>
      <c r="M36" s="59"/>
      <c r="N36" s="65"/>
      <c r="O36" s="59"/>
      <c r="P36" s="63" t="s">
        <v>36</v>
      </c>
      <c r="Q36" s="63"/>
      <c r="R36" s="64"/>
      <c r="S36" s="42" t="str">
        <f t="shared" si="3"/>
        <v/>
      </c>
      <c r="T36" s="43" t="str">
        <f t="shared" si="4"/>
        <v/>
      </c>
      <c r="U36" s="74"/>
      <c r="V36" s="75"/>
    </row>
    <row r="37" spans="2:22" ht="27" customHeight="1" x14ac:dyDescent="0.3">
      <c r="B37" s="11">
        <v>21</v>
      </c>
      <c r="C37" s="29">
        <f t="shared" ca="1" si="1"/>
        <v>46043</v>
      </c>
      <c r="D37" s="96"/>
      <c r="E37" s="97"/>
      <c r="F37" s="98"/>
      <c r="G37" s="58"/>
      <c r="H37" s="11" t="str">
        <f t="shared" si="2"/>
        <v/>
      </c>
      <c r="I37" s="59"/>
      <c r="J37" s="60"/>
      <c r="K37" s="41" t="str">
        <f t="shared" si="5"/>
        <v/>
      </c>
      <c r="L37" s="61"/>
      <c r="M37" s="59"/>
      <c r="N37" s="65"/>
      <c r="O37" s="59"/>
      <c r="P37" s="63" t="s">
        <v>36</v>
      </c>
      <c r="Q37" s="63"/>
      <c r="R37" s="64"/>
      <c r="S37" s="42" t="str">
        <f t="shared" si="3"/>
        <v/>
      </c>
      <c r="T37" s="43" t="str">
        <f t="shared" si="4"/>
        <v/>
      </c>
      <c r="U37" s="74"/>
      <c r="V37" s="75"/>
    </row>
    <row r="38" spans="2:22" ht="27" customHeight="1" x14ac:dyDescent="0.3">
      <c r="B38" s="11">
        <v>22</v>
      </c>
      <c r="C38" s="29">
        <f t="shared" ca="1" si="1"/>
        <v>46044</v>
      </c>
      <c r="D38" s="96"/>
      <c r="E38" s="97"/>
      <c r="F38" s="98"/>
      <c r="G38" s="58"/>
      <c r="H38" s="11" t="str">
        <f t="shared" si="2"/>
        <v/>
      </c>
      <c r="I38" s="59"/>
      <c r="J38" s="60"/>
      <c r="K38" s="41" t="str">
        <f t="shared" si="5"/>
        <v/>
      </c>
      <c r="L38" s="61"/>
      <c r="M38" s="59"/>
      <c r="N38" s="65"/>
      <c r="O38" s="59"/>
      <c r="P38" s="63" t="s">
        <v>36</v>
      </c>
      <c r="Q38" s="63"/>
      <c r="R38" s="64"/>
      <c r="S38" s="42" t="str">
        <f t="shared" si="3"/>
        <v/>
      </c>
      <c r="T38" s="43" t="str">
        <f t="shared" si="4"/>
        <v/>
      </c>
      <c r="U38" s="74"/>
      <c r="V38" s="75"/>
    </row>
    <row r="39" spans="2:22" ht="27" customHeight="1" x14ac:dyDescent="0.3">
      <c r="B39" s="11">
        <v>23</v>
      </c>
      <c r="C39" s="29">
        <f t="shared" ca="1" si="1"/>
        <v>46045</v>
      </c>
      <c r="D39" s="96"/>
      <c r="E39" s="97"/>
      <c r="F39" s="98"/>
      <c r="G39" s="58"/>
      <c r="H39" s="11" t="str">
        <f t="shared" si="2"/>
        <v/>
      </c>
      <c r="I39" s="59"/>
      <c r="J39" s="60"/>
      <c r="K39" s="41" t="str">
        <f t="shared" si="5"/>
        <v/>
      </c>
      <c r="L39" s="61"/>
      <c r="M39" s="59"/>
      <c r="N39" s="65"/>
      <c r="O39" s="59"/>
      <c r="P39" s="63" t="s">
        <v>36</v>
      </c>
      <c r="Q39" s="63"/>
      <c r="R39" s="64"/>
      <c r="S39" s="42" t="str">
        <f t="shared" si="3"/>
        <v/>
      </c>
      <c r="T39" s="43" t="str">
        <f t="shared" si="4"/>
        <v/>
      </c>
      <c r="U39" s="74"/>
      <c r="V39" s="75"/>
    </row>
    <row r="40" spans="2:22" ht="27" customHeight="1" x14ac:dyDescent="0.3">
      <c r="B40" s="11">
        <v>24</v>
      </c>
      <c r="C40" s="29">
        <f t="shared" ca="1" si="1"/>
        <v>46046</v>
      </c>
      <c r="D40" s="96"/>
      <c r="E40" s="97"/>
      <c r="F40" s="98"/>
      <c r="G40" s="58"/>
      <c r="H40" s="11" t="str">
        <f t="shared" si="2"/>
        <v/>
      </c>
      <c r="I40" s="59"/>
      <c r="J40" s="60"/>
      <c r="K40" s="41" t="str">
        <f t="shared" si="5"/>
        <v/>
      </c>
      <c r="L40" s="61"/>
      <c r="M40" s="59"/>
      <c r="N40" s="65"/>
      <c r="O40" s="59"/>
      <c r="P40" s="63" t="s">
        <v>36</v>
      </c>
      <c r="Q40" s="63"/>
      <c r="R40" s="64"/>
      <c r="S40" s="42" t="str">
        <f t="shared" si="3"/>
        <v/>
      </c>
      <c r="T40" s="43" t="str">
        <f t="shared" si="4"/>
        <v/>
      </c>
      <c r="U40" s="74"/>
      <c r="V40" s="75"/>
    </row>
    <row r="41" spans="2:22" ht="27" customHeight="1" x14ac:dyDescent="0.3">
      <c r="B41" s="11">
        <v>25</v>
      </c>
      <c r="C41" s="29">
        <f t="shared" ca="1" si="1"/>
        <v>46047</v>
      </c>
      <c r="D41" s="96"/>
      <c r="E41" s="97"/>
      <c r="F41" s="98"/>
      <c r="G41" s="58"/>
      <c r="H41" s="11" t="str">
        <f t="shared" si="2"/>
        <v/>
      </c>
      <c r="I41" s="59"/>
      <c r="J41" s="60"/>
      <c r="K41" s="41" t="str">
        <f t="shared" si="5"/>
        <v/>
      </c>
      <c r="L41" s="61"/>
      <c r="M41" s="59"/>
      <c r="N41" s="65"/>
      <c r="O41" s="59"/>
      <c r="P41" s="63" t="s">
        <v>36</v>
      </c>
      <c r="Q41" s="63"/>
      <c r="R41" s="64"/>
      <c r="S41" s="42" t="str">
        <f t="shared" si="3"/>
        <v/>
      </c>
      <c r="T41" s="43" t="str">
        <f t="shared" si="4"/>
        <v/>
      </c>
      <c r="U41" s="74"/>
      <c r="V41" s="75"/>
    </row>
    <row r="42" spans="2:22" ht="27" customHeight="1" x14ac:dyDescent="0.3">
      <c r="B42" s="11">
        <v>26</v>
      </c>
      <c r="C42" s="29">
        <f t="shared" ca="1" si="1"/>
        <v>46048</v>
      </c>
      <c r="D42" s="96"/>
      <c r="E42" s="97"/>
      <c r="F42" s="98"/>
      <c r="G42" s="58"/>
      <c r="H42" s="11" t="str">
        <f t="shared" si="2"/>
        <v/>
      </c>
      <c r="I42" s="59"/>
      <c r="J42" s="60"/>
      <c r="K42" s="41" t="str">
        <f t="shared" si="5"/>
        <v/>
      </c>
      <c r="L42" s="61"/>
      <c r="M42" s="59"/>
      <c r="N42" s="65"/>
      <c r="O42" s="59"/>
      <c r="P42" s="63" t="s">
        <v>36</v>
      </c>
      <c r="Q42" s="63"/>
      <c r="R42" s="64"/>
      <c r="S42" s="42" t="str">
        <f t="shared" si="3"/>
        <v/>
      </c>
      <c r="T42" s="43" t="str">
        <f t="shared" si="4"/>
        <v/>
      </c>
      <c r="U42" s="74"/>
      <c r="V42" s="75"/>
    </row>
    <row r="43" spans="2:22" ht="27" customHeight="1" x14ac:dyDescent="0.3">
      <c r="B43" s="11">
        <v>27</v>
      </c>
      <c r="C43" s="29">
        <f t="shared" ca="1" si="1"/>
        <v>46049</v>
      </c>
      <c r="D43" s="96"/>
      <c r="E43" s="97"/>
      <c r="F43" s="98"/>
      <c r="G43" s="58"/>
      <c r="H43" s="11" t="str">
        <f t="shared" si="2"/>
        <v/>
      </c>
      <c r="I43" s="59"/>
      <c r="J43" s="60"/>
      <c r="K43" s="41" t="str">
        <f t="shared" si="5"/>
        <v/>
      </c>
      <c r="L43" s="61"/>
      <c r="M43" s="59"/>
      <c r="N43" s="65"/>
      <c r="O43" s="59"/>
      <c r="P43" s="63" t="s">
        <v>36</v>
      </c>
      <c r="Q43" s="63"/>
      <c r="R43" s="64"/>
      <c r="S43" s="42" t="str">
        <f t="shared" si="3"/>
        <v/>
      </c>
      <c r="T43" s="43" t="str">
        <f t="shared" si="4"/>
        <v/>
      </c>
      <c r="U43" s="74"/>
      <c r="V43" s="75"/>
    </row>
    <row r="44" spans="2:22" ht="27" customHeight="1" x14ac:dyDescent="0.3">
      <c r="B44" s="11">
        <v>28</v>
      </c>
      <c r="C44" s="29">
        <f t="shared" ca="1" si="1"/>
        <v>46050</v>
      </c>
      <c r="D44" s="96"/>
      <c r="E44" s="97"/>
      <c r="F44" s="98"/>
      <c r="G44" s="58"/>
      <c r="H44" s="11" t="str">
        <f t="shared" si="2"/>
        <v/>
      </c>
      <c r="I44" s="59"/>
      <c r="J44" s="60"/>
      <c r="K44" s="41" t="str">
        <f t="shared" si="5"/>
        <v/>
      </c>
      <c r="L44" s="61"/>
      <c r="M44" s="59"/>
      <c r="N44" s="65"/>
      <c r="O44" s="59"/>
      <c r="P44" s="63" t="s">
        <v>36</v>
      </c>
      <c r="Q44" s="63"/>
      <c r="R44" s="64"/>
      <c r="S44" s="42" t="str">
        <f t="shared" si="3"/>
        <v/>
      </c>
      <c r="T44" s="43" t="str">
        <f t="shared" si="4"/>
        <v/>
      </c>
      <c r="U44" s="74"/>
      <c r="V44" s="75"/>
    </row>
    <row r="45" spans="2:22" ht="27" customHeight="1" x14ac:dyDescent="0.3">
      <c r="B45" s="11">
        <v>29</v>
      </c>
      <c r="C45" s="29">
        <f ca="1">IF(MONTH(DATE(YEAR($D$6),$C$2,B45))&lt;&gt;MONTH($C$44),"공란",DATE(YEAR($D$6),$C$2,B45))</f>
        <v>46051</v>
      </c>
      <c r="D45" s="96"/>
      <c r="E45" s="97"/>
      <c r="F45" s="98"/>
      <c r="G45" s="58"/>
      <c r="H45" s="11" t="str">
        <f t="shared" si="2"/>
        <v/>
      </c>
      <c r="I45" s="59"/>
      <c r="J45" s="60"/>
      <c r="K45" s="41" t="str">
        <f t="shared" si="5"/>
        <v/>
      </c>
      <c r="L45" s="61"/>
      <c r="M45" s="59"/>
      <c r="N45" s="65"/>
      <c r="O45" s="59"/>
      <c r="P45" s="63" t="s">
        <v>36</v>
      </c>
      <c r="Q45" s="63"/>
      <c r="R45" s="64"/>
      <c r="S45" s="42" t="str">
        <f t="shared" si="3"/>
        <v/>
      </c>
      <c r="T45" s="43" t="str">
        <f t="shared" si="4"/>
        <v/>
      </c>
      <c r="U45" s="74"/>
      <c r="V45" s="75"/>
    </row>
    <row r="46" spans="2:22" ht="27" customHeight="1" x14ac:dyDescent="0.3">
      <c r="B46" s="11">
        <v>30</v>
      </c>
      <c r="C46" s="29">
        <f ca="1">IF(MONTH(DATE(YEAR($D$6),$C$2,B46))&lt;&gt;MONTH($C$44),"공란",DATE(YEAR($D$6),$C$2,B46))</f>
        <v>46052</v>
      </c>
      <c r="D46" s="96"/>
      <c r="E46" s="97"/>
      <c r="F46" s="98"/>
      <c r="G46" s="58"/>
      <c r="H46" s="11" t="str">
        <f t="shared" si="2"/>
        <v/>
      </c>
      <c r="I46" s="59"/>
      <c r="J46" s="60"/>
      <c r="K46" s="41" t="str">
        <f t="shared" si="5"/>
        <v/>
      </c>
      <c r="L46" s="61"/>
      <c r="M46" s="59"/>
      <c r="N46" s="65"/>
      <c r="O46" s="59"/>
      <c r="P46" s="63" t="s">
        <v>36</v>
      </c>
      <c r="Q46" s="63"/>
      <c r="R46" s="64"/>
      <c r="S46" s="42" t="str">
        <f t="shared" si="3"/>
        <v/>
      </c>
      <c r="T46" s="43" t="str">
        <f t="shared" si="4"/>
        <v/>
      </c>
      <c r="U46" s="74"/>
      <c r="V46" s="75"/>
    </row>
    <row r="47" spans="2:22" ht="27" customHeight="1" x14ac:dyDescent="0.3">
      <c r="B47" s="11">
        <v>31</v>
      </c>
      <c r="C47" s="29">
        <f ca="1">IF(MONTH(DATE(YEAR($D$6),$C$2,B47))&lt;&gt;MONTH($C$44),"공란",DATE(YEAR($D$6),$C$2,B47))</f>
        <v>46053</v>
      </c>
      <c r="D47" s="96"/>
      <c r="E47" s="97"/>
      <c r="F47" s="98"/>
      <c r="G47" s="58"/>
      <c r="H47" s="11" t="str">
        <f t="shared" si="2"/>
        <v/>
      </c>
      <c r="I47" s="59"/>
      <c r="J47" s="60"/>
      <c r="K47" s="41" t="str">
        <f>IF(AND(I47&lt;&gt;"",J47&lt;&gt;""),ROUNDDOWN((MOD(J47-I47,1)*24)*2,0)/2,"")</f>
        <v/>
      </c>
      <c r="L47" s="61"/>
      <c r="M47" s="59"/>
      <c r="N47" s="65"/>
      <c r="O47" s="59"/>
      <c r="P47" s="63" t="s">
        <v>36</v>
      </c>
      <c r="Q47" s="63"/>
      <c r="R47" s="64"/>
      <c r="S47" s="42" t="str">
        <f t="shared" si="3"/>
        <v/>
      </c>
      <c r="T47" s="43" t="str">
        <f t="shared" si="4"/>
        <v/>
      </c>
      <c r="U47" s="74"/>
      <c r="V47" s="75"/>
    </row>
    <row r="48" spans="2:22" ht="24.95" customHeight="1" x14ac:dyDescent="0.3">
      <c r="B48" s="76" t="s">
        <v>6</v>
      </c>
      <c r="C48" s="76"/>
      <c r="D48" s="76"/>
      <c r="E48" s="76"/>
      <c r="F48" s="76"/>
      <c r="G48" s="76"/>
      <c r="H48" s="76"/>
      <c r="I48" s="76"/>
      <c r="J48" s="76"/>
      <c r="K48" s="76"/>
      <c r="L48" s="76"/>
      <c r="M48" s="76"/>
      <c r="N48" s="76"/>
      <c r="O48" s="76"/>
      <c r="P48" s="76"/>
      <c r="Q48" s="76"/>
      <c r="R48" s="76"/>
      <c r="S48" s="76"/>
      <c r="T48" s="76"/>
      <c r="U48" s="76"/>
      <c r="V48" s="76"/>
    </row>
    <row r="49" spans="20:21" x14ac:dyDescent="0.25">
      <c r="T49" s="5"/>
      <c r="U49" s="5"/>
    </row>
    <row r="50" spans="20:21" x14ac:dyDescent="0.25">
      <c r="T50" s="5"/>
      <c r="U50" s="5"/>
    </row>
  </sheetData>
  <sheetProtection algorithmName="SHA-512" hashValue="0O/ALzvvsrF8kDayxnSdJl+n67xnKXz5BE5V5UJotb2BFfWsCVzhHjrJpXPoR7r9SP7W7PeiAPUH5UDvtKSBvA==" saltValue="BaKG7Cdw1NmEn2KXtxqpoQ==" spinCount="100000" sheet="1" objects="1" scenarios="1"/>
  <mergeCells count="78">
    <mergeCell ref="D46:F46"/>
    <mergeCell ref="U46:V46"/>
    <mergeCell ref="D47:F47"/>
    <mergeCell ref="U47:V47"/>
    <mergeCell ref="B48:V48"/>
    <mergeCell ref="D43:F43"/>
    <mergeCell ref="U43:V43"/>
    <mergeCell ref="D44:F44"/>
    <mergeCell ref="U44:V44"/>
    <mergeCell ref="D45:F45"/>
    <mergeCell ref="U45:V45"/>
    <mergeCell ref="D40:F40"/>
    <mergeCell ref="U40:V40"/>
    <mergeCell ref="D41:F41"/>
    <mergeCell ref="U41:V41"/>
    <mergeCell ref="D42:F42"/>
    <mergeCell ref="U42:V42"/>
    <mergeCell ref="D37:F37"/>
    <mergeCell ref="U37:V37"/>
    <mergeCell ref="D38:F38"/>
    <mergeCell ref="U38:V38"/>
    <mergeCell ref="D39:F39"/>
    <mergeCell ref="U39:V39"/>
    <mergeCell ref="D34:F34"/>
    <mergeCell ref="U34:V34"/>
    <mergeCell ref="D35:F35"/>
    <mergeCell ref="U35:V35"/>
    <mergeCell ref="D36:F36"/>
    <mergeCell ref="U36:V36"/>
    <mergeCell ref="D31:F31"/>
    <mergeCell ref="U31:V31"/>
    <mergeCell ref="D32:F32"/>
    <mergeCell ref="U32:V32"/>
    <mergeCell ref="D33:F33"/>
    <mergeCell ref="U33:V33"/>
    <mergeCell ref="D28:F28"/>
    <mergeCell ref="U28:V28"/>
    <mergeCell ref="D29:F29"/>
    <mergeCell ref="U29:V29"/>
    <mergeCell ref="D30:F30"/>
    <mergeCell ref="U30:V30"/>
    <mergeCell ref="D25:F25"/>
    <mergeCell ref="U25:V25"/>
    <mergeCell ref="D26:F26"/>
    <mergeCell ref="U26:V26"/>
    <mergeCell ref="D27:F27"/>
    <mergeCell ref="U27:V27"/>
    <mergeCell ref="D22:F22"/>
    <mergeCell ref="U22:V22"/>
    <mergeCell ref="D23:F23"/>
    <mergeCell ref="U23:V23"/>
    <mergeCell ref="D24:F24"/>
    <mergeCell ref="U24:V24"/>
    <mergeCell ref="D19:F19"/>
    <mergeCell ref="U19:V19"/>
    <mergeCell ref="D20:F20"/>
    <mergeCell ref="U20:V20"/>
    <mergeCell ref="D21:F21"/>
    <mergeCell ref="U21:V21"/>
    <mergeCell ref="D16:F16"/>
    <mergeCell ref="U16:V16"/>
    <mergeCell ref="D17:F17"/>
    <mergeCell ref="U17:V17"/>
    <mergeCell ref="D18:F18"/>
    <mergeCell ref="U18:V18"/>
    <mergeCell ref="D15:F15"/>
    <mergeCell ref="U15:V15"/>
    <mergeCell ref="C2:K3"/>
    <mergeCell ref="S3:U3"/>
    <mergeCell ref="S5:S7"/>
    <mergeCell ref="T5:T7"/>
    <mergeCell ref="U5:U7"/>
    <mergeCell ref="S10:T10"/>
    <mergeCell ref="B13:R13"/>
    <mergeCell ref="S13:V13"/>
    <mergeCell ref="B14:K14"/>
    <mergeCell ref="L14:R14"/>
    <mergeCell ref="S14:V14"/>
  </mergeCells>
  <phoneticPr fontId="1" type="noConversion"/>
  <conditionalFormatting sqref="G16:H47">
    <cfRule type="expression" dxfId="7" priority="3">
      <formula>$H16="확정신청"</formula>
    </cfRule>
  </conditionalFormatting>
  <conditionalFormatting sqref="N16">
    <cfRule type="cellIs" dxfId="6" priority="2" operator="equal">
      <formula>"O"</formula>
    </cfRule>
  </conditionalFormatting>
  <conditionalFormatting sqref="P16:P47">
    <cfRule type="cellIs" dxfId="5" priority="1" operator="equal">
      <formula>"입력하세요"</formula>
    </cfRule>
    <cfRule type="cellIs" dxfId="4" priority="4" operator="equal">
      <formula>"O"</formula>
    </cfRule>
  </conditionalFormatting>
  <dataValidations count="2">
    <dataValidation type="list" allowBlank="1" showInputMessage="1" showErrorMessage="1" sqref="P16:P47" xr:uid="{0042C547-4548-40AD-9648-B894E683FBE7}">
      <formula1>"입력하세요,O,X"</formula1>
    </dataValidation>
    <dataValidation type="whole" allowBlank="1" showInputMessage="1" showErrorMessage="1" sqref="C2:Q3" xr:uid="{66A11036-3513-45E7-A2BD-27F3EE31798C}">
      <formula1>1</formula1>
      <formula2>12</formula2>
    </dataValidation>
  </dataValidations>
  <pageMargins left="0.7" right="0.7" top="0.75" bottom="0.75" header="0.3" footer="0.3"/>
  <pageSetup paperSize="9" scale="52" orientation="portrait" horizontalDpi="300" verticalDpi="300" r:id="rId1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3A197B-6F81-4A35-AF61-37196FDF0E99}">
  <sheetPr>
    <pageSetUpPr autoPageBreaks="0"/>
  </sheetPr>
  <dimension ref="A1:V50"/>
  <sheetViews>
    <sheetView showGridLines="0" topLeftCell="B1" zoomScale="85" zoomScaleNormal="85" workbookViewId="0">
      <selection activeCell="X37" sqref="X37"/>
    </sheetView>
  </sheetViews>
  <sheetFormatPr defaultRowHeight="15.75" x14ac:dyDescent="0.3"/>
  <cols>
    <col min="1" max="1" width="1.25" style="10" customWidth="1"/>
    <col min="2" max="2" width="5.25" style="10" bestFit="1" customWidth="1"/>
    <col min="3" max="3" width="13.875" style="10" bestFit="1" customWidth="1"/>
    <col min="4" max="4" width="25.625" style="10" customWidth="1"/>
    <col min="5" max="6" width="14.5" style="10" customWidth="1"/>
    <col min="7" max="7" width="11.125" style="10" bestFit="1" customWidth="1"/>
    <col min="8" max="8" width="8.75" style="10" bestFit="1" customWidth="1"/>
    <col min="9" max="11" width="9" style="10" bestFit="1" customWidth="1"/>
    <col min="12" max="13" width="11.625" style="48" bestFit="1" customWidth="1"/>
    <col min="14" max="14" width="12.375" style="10" bestFit="1" customWidth="1"/>
    <col min="15" max="15" width="12.375" style="10" customWidth="1"/>
    <col min="16" max="16" width="10.375" style="10" customWidth="1"/>
    <col min="17" max="17" width="9" style="16" bestFit="1" customWidth="1"/>
    <col min="18" max="18" width="14.375" style="16" bestFit="1" customWidth="1"/>
    <col min="19" max="20" width="10.625" style="10" customWidth="1"/>
    <col min="21" max="22" width="9.625" style="10" customWidth="1"/>
    <col min="23" max="240" width="9" style="10"/>
    <col min="241" max="241" width="1.25" style="10" customWidth="1"/>
    <col min="242" max="242" width="7.25" style="10" customWidth="1"/>
    <col min="243" max="243" width="11.25" style="10" bestFit="1" customWidth="1"/>
    <col min="244" max="244" width="8.5" style="10" customWidth="1"/>
    <col min="245" max="245" width="17.375" style="10" customWidth="1"/>
    <col min="246" max="246" width="2.875" style="10" customWidth="1"/>
    <col min="247" max="247" width="4.25" style="10" customWidth="1"/>
    <col min="248" max="248" width="8.25" style="10" customWidth="1"/>
    <col min="249" max="249" width="4.625" style="10" customWidth="1"/>
    <col min="250" max="250" width="4.125" style="10" customWidth="1"/>
    <col min="251" max="251" width="8.625" style="10" customWidth="1"/>
    <col min="252" max="252" width="4.125" style="10" customWidth="1"/>
    <col min="253" max="253" width="4.625" style="10" customWidth="1"/>
    <col min="254" max="254" width="9.375" style="10" customWidth="1"/>
    <col min="255" max="255" width="1.375" style="10" customWidth="1"/>
    <col min="256" max="496" width="9" style="10"/>
    <col min="497" max="497" width="1.25" style="10" customWidth="1"/>
    <col min="498" max="498" width="7.25" style="10" customWidth="1"/>
    <col min="499" max="499" width="11.25" style="10" bestFit="1" customWidth="1"/>
    <col min="500" max="500" width="8.5" style="10" customWidth="1"/>
    <col min="501" max="501" width="17.375" style="10" customWidth="1"/>
    <col min="502" max="502" width="2.875" style="10" customWidth="1"/>
    <col min="503" max="503" width="4.25" style="10" customWidth="1"/>
    <col min="504" max="504" width="8.25" style="10" customWidth="1"/>
    <col min="505" max="505" width="4.625" style="10" customWidth="1"/>
    <col min="506" max="506" width="4.125" style="10" customWidth="1"/>
    <col min="507" max="507" width="8.625" style="10" customWidth="1"/>
    <col min="508" max="508" width="4.125" style="10" customWidth="1"/>
    <col min="509" max="509" width="4.625" style="10" customWidth="1"/>
    <col min="510" max="510" width="9.375" style="10" customWidth="1"/>
    <col min="511" max="511" width="1.375" style="10" customWidth="1"/>
    <col min="512" max="752" width="9" style="10"/>
    <col min="753" max="753" width="1.25" style="10" customWidth="1"/>
    <col min="754" max="754" width="7.25" style="10" customWidth="1"/>
    <col min="755" max="755" width="11.25" style="10" bestFit="1" customWidth="1"/>
    <col min="756" max="756" width="8.5" style="10" customWidth="1"/>
    <col min="757" max="757" width="17.375" style="10" customWidth="1"/>
    <col min="758" max="758" width="2.875" style="10" customWidth="1"/>
    <col min="759" max="759" width="4.25" style="10" customWidth="1"/>
    <col min="760" max="760" width="8.25" style="10" customWidth="1"/>
    <col min="761" max="761" width="4.625" style="10" customWidth="1"/>
    <col min="762" max="762" width="4.125" style="10" customWidth="1"/>
    <col min="763" max="763" width="8.625" style="10" customWidth="1"/>
    <col min="764" max="764" width="4.125" style="10" customWidth="1"/>
    <col min="765" max="765" width="4.625" style="10" customWidth="1"/>
    <col min="766" max="766" width="9.375" style="10" customWidth="1"/>
    <col min="767" max="767" width="1.375" style="10" customWidth="1"/>
    <col min="768" max="1008" width="9" style="10"/>
    <col min="1009" max="1009" width="1.25" style="10" customWidth="1"/>
    <col min="1010" max="1010" width="7.25" style="10" customWidth="1"/>
    <col min="1011" max="1011" width="11.25" style="10" bestFit="1" customWidth="1"/>
    <col min="1012" max="1012" width="8.5" style="10" customWidth="1"/>
    <col min="1013" max="1013" width="17.375" style="10" customWidth="1"/>
    <col min="1014" max="1014" width="2.875" style="10" customWidth="1"/>
    <col min="1015" max="1015" width="4.25" style="10" customWidth="1"/>
    <col min="1016" max="1016" width="8.25" style="10" customWidth="1"/>
    <col min="1017" max="1017" width="4.625" style="10" customWidth="1"/>
    <col min="1018" max="1018" width="4.125" style="10" customWidth="1"/>
    <col min="1019" max="1019" width="8.625" style="10" customWidth="1"/>
    <col min="1020" max="1020" width="4.125" style="10" customWidth="1"/>
    <col min="1021" max="1021" width="4.625" style="10" customWidth="1"/>
    <col min="1022" max="1022" width="9.375" style="10" customWidth="1"/>
    <col min="1023" max="1023" width="1.375" style="10" customWidth="1"/>
    <col min="1024" max="1264" width="9" style="10"/>
    <col min="1265" max="1265" width="1.25" style="10" customWidth="1"/>
    <col min="1266" max="1266" width="7.25" style="10" customWidth="1"/>
    <col min="1267" max="1267" width="11.25" style="10" bestFit="1" customWidth="1"/>
    <col min="1268" max="1268" width="8.5" style="10" customWidth="1"/>
    <col min="1269" max="1269" width="17.375" style="10" customWidth="1"/>
    <col min="1270" max="1270" width="2.875" style="10" customWidth="1"/>
    <col min="1271" max="1271" width="4.25" style="10" customWidth="1"/>
    <col min="1272" max="1272" width="8.25" style="10" customWidth="1"/>
    <col min="1273" max="1273" width="4.625" style="10" customWidth="1"/>
    <col min="1274" max="1274" width="4.125" style="10" customWidth="1"/>
    <col min="1275" max="1275" width="8.625" style="10" customWidth="1"/>
    <col min="1276" max="1276" width="4.125" style="10" customWidth="1"/>
    <col min="1277" max="1277" width="4.625" style="10" customWidth="1"/>
    <col min="1278" max="1278" width="9.375" style="10" customWidth="1"/>
    <col min="1279" max="1279" width="1.375" style="10" customWidth="1"/>
    <col min="1280" max="1520" width="9" style="10"/>
    <col min="1521" max="1521" width="1.25" style="10" customWidth="1"/>
    <col min="1522" max="1522" width="7.25" style="10" customWidth="1"/>
    <col min="1523" max="1523" width="11.25" style="10" bestFit="1" customWidth="1"/>
    <col min="1524" max="1524" width="8.5" style="10" customWidth="1"/>
    <col min="1525" max="1525" width="17.375" style="10" customWidth="1"/>
    <col min="1526" max="1526" width="2.875" style="10" customWidth="1"/>
    <col min="1527" max="1527" width="4.25" style="10" customWidth="1"/>
    <col min="1528" max="1528" width="8.25" style="10" customWidth="1"/>
    <col min="1529" max="1529" width="4.625" style="10" customWidth="1"/>
    <col min="1530" max="1530" width="4.125" style="10" customWidth="1"/>
    <col min="1531" max="1531" width="8.625" style="10" customWidth="1"/>
    <col min="1532" max="1532" width="4.125" style="10" customWidth="1"/>
    <col min="1533" max="1533" width="4.625" style="10" customWidth="1"/>
    <col min="1534" max="1534" width="9.375" style="10" customWidth="1"/>
    <col min="1535" max="1535" width="1.375" style="10" customWidth="1"/>
    <col min="1536" max="1776" width="9" style="10"/>
    <col min="1777" max="1777" width="1.25" style="10" customWidth="1"/>
    <col min="1778" max="1778" width="7.25" style="10" customWidth="1"/>
    <col min="1779" max="1779" width="11.25" style="10" bestFit="1" customWidth="1"/>
    <col min="1780" max="1780" width="8.5" style="10" customWidth="1"/>
    <col min="1781" max="1781" width="17.375" style="10" customWidth="1"/>
    <col min="1782" max="1782" width="2.875" style="10" customWidth="1"/>
    <col min="1783" max="1783" width="4.25" style="10" customWidth="1"/>
    <col min="1784" max="1784" width="8.25" style="10" customWidth="1"/>
    <col min="1785" max="1785" width="4.625" style="10" customWidth="1"/>
    <col min="1786" max="1786" width="4.125" style="10" customWidth="1"/>
    <col min="1787" max="1787" width="8.625" style="10" customWidth="1"/>
    <col min="1788" max="1788" width="4.125" style="10" customWidth="1"/>
    <col min="1789" max="1789" width="4.625" style="10" customWidth="1"/>
    <col min="1790" max="1790" width="9.375" style="10" customWidth="1"/>
    <col min="1791" max="1791" width="1.375" style="10" customWidth="1"/>
    <col min="1792" max="2032" width="9" style="10"/>
    <col min="2033" max="2033" width="1.25" style="10" customWidth="1"/>
    <col min="2034" max="2034" width="7.25" style="10" customWidth="1"/>
    <col min="2035" max="2035" width="11.25" style="10" bestFit="1" customWidth="1"/>
    <col min="2036" max="2036" width="8.5" style="10" customWidth="1"/>
    <col min="2037" max="2037" width="17.375" style="10" customWidth="1"/>
    <col min="2038" max="2038" width="2.875" style="10" customWidth="1"/>
    <col min="2039" max="2039" width="4.25" style="10" customWidth="1"/>
    <col min="2040" max="2040" width="8.25" style="10" customWidth="1"/>
    <col min="2041" max="2041" width="4.625" style="10" customWidth="1"/>
    <col min="2042" max="2042" width="4.125" style="10" customWidth="1"/>
    <col min="2043" max="2043" width="8.625" style="10" customWidth="1"/>
    <col min="2044" max="2044" width="4.125" style="10" customWidth="1"/>
    <col min="2045" max="2045" width="4.625" style="10" customWidth="1"/>
    <col min="2046" max="2046" width="9.375" style="10" customWidth="1"/>
    <col min="2047" max="2047" width="1.375" style="10" customWidth="1"/>
    <col min="2048" max="2288" width="9" style="10"/>
    <col min="2289" max="2289" width="1.25" style="10" customWidth="1"/>
    <col min="2290" max="2290" width="7.25" style="10" customWidth="1"/>
    <col min="2291" max="2291" width="11.25" style="10" bestFit="1" customWidth="1"/>
    <col min="2292" max="2292" width="8.5" style="10" customWidth="1"/>
    <col min="2293" max="2293" width="17.375" style="10" customWidth="1"/>
    <col min="2294" max="2294" width="2.875" style="10" customWidth="1"/>
    <col min="2295" max="2295" width="4.25" style="10" customWidth="1"/>
    <col min="2296" max="2296" width="8.25" style="10" customWidth="1"/>
    <col min="2297" max="2297" width="4.625" style="10" customWidth="1"/>
    <col min="2298" max="2298" width="4.125" style="10" customWidth="1"/>
    <col min="2299" max="2299" width="8.625" style="10" customWidth="1"/>
    <col min="2300" max="2300" width="4.125" style="10" customWidth="1"/>
    <col min="2301" max="2301" width="4.625" style="10" customWidth="1"/>
    <col min="2302" max="2302" width="9.375" style="10" customWidth="1"/>
    <col min="2303" max="2303" width="1.375" style="10" customWidth="1"/>
    <col min="2304" max="2544" width="9" style="10"/>
    <col min="2545" max="2545" width="1.25" style="10" customWidth="1"/>
    <col min="2546" max="2546" width="7.25" style="10" customWidth="1"/>
    <col min="2547" max="2547" width="11.25" style="10" bestFit="1" customWidth="1"/>
    <col min="2548" max="2548" width="8.5" style="10" customWidth="1"/>
    <col min="2549" max="2549" width="17.375" style="10" customWidth="1"/>
    <col min="2550" max="2550" width="2.875" style="10" customWidth="1"/>
    <col min="2551" max="2551" width="4.25" style="10" customWidth="1"/>
    <col min="2552" max="2552" width="8.25" style="10" customWidth="1"/>
    <col min="2553" max="2553" width="4.625" style="10" customWidth="1"/>
    <col min="2554" max="2554" width="4.125" style="10" customWidth="1"/>
    <col min="2555" max="2555" width="8.625" style="10" customWidth="1"/>
    <col min="2556" max="2556" width="4.125" style="10" customWidth="1"/>
    <col min="2557" max="2557" width="4.625" style="10" customWidth="1"/>
    <col min="2558" max="2558" width="9.375" style="10" customWidth="1"/>
    <col min="2559" max="2559" width="1.375" style="10" customWidth="1"/>
    <col min="2560" max="2800" width="9" style="10"/>
    <col min="2801" max="2801" width="1.25" style="10" customWidth="1"/>
    <col min="2802" max="2802" width="7.25" style="10" customWidth="1"/>
    <col min="2803" max="2803" width="11.25" style="10" bestFit="1" customWidth="1"/>
    <col min="2804" max="2804" width="8.5" style="10" customWidth="1"/>
    <col min="2805" max="2805" width="17.375" style="10" customWidth="1"/>
    <col min="2806" max="2806" width="2.875" style="10" customWidth="1"/>
    <col min="2807" max="2807" width="4.25" style="10" customWidth="1"/>
    <col min="2808" max="2808" width="8.25" style="10" customWidth="1"/>
    <col min="2809" max="2809" width="4.625" style="10" customWidth="1"/>
    <col min="2810" max="2810" width="4.125" style="10" customWidth="1"/>
    <col min="2811" max="2811" width="8.625" style="10" customWidth="1"/>
    <col min="2812" max="2812" width="4.125" style="10" customWidth="1"/>
    <col min="2813" max="2813" width="4.625" style="10" customWidth="1"/>
    <col min="2814" max="2814" width="9.375" style="10" customWidth="1"/>
    <col min="2815" max="2815" width="1.375" style="10" customWidth="1"/>
    <col min="2816" max="3056" width="9" style="10"/>
    <col min="3057" max="3057" width="1.25" style="10" customWidth="1"/>
    <col min="3058" max="3058" width="7.25" style="10" customWidth="1"/>
    <col min="3059" max="3059" width="11.25" style="10" bestFit="1" customWidth="1"/>
    <col min="3060" max="3060" width="8.5" style="10" customWidth="1"/>
    <col min="3061" max="3061" width="17.375" style="10" customWidth="1"/>
    <col min="3062" max="3062" width="2.875" style="10" customWidth="1"/>
    <col min="3063" max="3063" width="4.25" style="10" customWidth="1"/>
    <col min="3064" max="3064" width="8.25" style="10" customWidth="1"/>
    <col min="3065" max="3065" width="4.625" style="10" customWidth="1"/>
    <col min="3066" max="3066" width="4.125" style="10" customWidth="1"/>
    <col min="3067" max="3067" width="8.625" style="10" customWidth="1"/>
    <col min="3068" max="3068" width="4.125" style="10" customWidth="1"/>
    <col min="3069" max="3069" width="4.625" style="10" customWidth="1"/>
    <col min="3070" max="3070" width="9.375" style="10" customWidth="1"/>
    <col min="3071" max="3071" width="1.375" style="10" customWidth="1"/>
    <col min="3072" max="3312" width="9" style="10"/>
    <col min="3313" max="3313" width="1.25" style="10" customWidth="1"/>
    <col min="3314" max="3314" width="7.25" style="10" customWidth="1"/>
    <col min="3315" max="3315" width="11.25" style="10" bestFit="1" customWidth="1"/>
    <col min="3316" max="3316" width="8.5" style="10" customWidth="1"/>
    <col min="3317" max="3317" width="17.375" style="10" customWidth="1"/>
    <col min="3318" max="3318" width="2.875" style="10" customWidth="1"/>
    <col min="3319" max="3319" width="4.25" style="10" customWidth="1"/>
    <col min="3320" max="3320" width="8.25" style="10" customWidth="1"/>
    <col min="3321" max="3321" width="4.625" style="10" customWidth="1"/>
    <col min="3322" max="3322" width="4.125" style="10" customWidth="1"/>
    <col min="3323" max="3323" width="8.625" style="10" customWidth="1"/>
    <col min="3324" max="3324" width="4.125" style="10" customWidth="1"/>
    <col min="3325" max="3325" width="4.625" style="10" customWidth="1"/>
    <col min="3326" max="3326" width="9.375" style="10" customWidth="1"/>
    <col min="3327" max="3327" width="1.375" style="10" customWidth="1"/>
    <col min="3328" max="3568" width="9" style="10"/>
    <col min="3569" max="3569" width="1.25" style="10" customWidth="1"/>
    <col min="3570" max="3570" width="7.25" style="10" customWidth="1"/>
    <col min="3571" max="3571" width="11.25" style="10" bestFit="1" customWidth="1"/>
    <col min="3572" max="3572" width="8.5" style="10" customWidth="1"/>
    <col min="3573" max="3573" width="17.375" style="10" customWidth="1"/>
    <col min="3574" max="3574" width="2.875" style="10" customWidth="1"/>
    <col min="3575" max="3575" width="4.25" style="10" customWidth="1"/>
    <col min="3576" max="3576" width="8.25" style="10" customWidth="1"/>
    <col min="3577" max="3577" width="4.625" style="10" customWidth="1"/>
    <col min="3578" max="3578" width="4.125" style="10" customWidth="1"/>
    <col min="3579" max="3579" width="8.625" style="10" customWidth="1"/>
    <col min="3580" max="3580" width="4.125" style="10" customWidth="1"/>
    <col min="3581" max="3581" width="4.625" style="10" customWidth="1"/>
    <col min="3582" max="3582" width="9.375" style="10" customWidth="1"/>
    <col min="3583" max="3583" width="1.375" style="10" customWidth="1"/>
    <col min="3584" max="3824" width="9" style="10"/>
    <col min="3825" max="3825" width="1.25" style="10" customWidth="1"/>
    <col min="3826" max="3826" width="7.25" style="10" customWidth="1"/>
    <col min="3827" max="3827" width="11.25" style="10" bestFit="1" customWidth="1"/>
    <col min="3828" max="3828" width="8.5" style="10" customWidth="1"/>
    <col min="3829" max="3829" width="17.375" style="10" customWidth="1"/>
    <col min="3830" max="3830" width="2.875" style="10" customWidth="1"/>
    <col min="3831" max="3831" width="4.25" style="10" customWidth="1"/>
    <col min="3832" max="3832" width="8.25" style="10" customWidth="1"/>
    <col min="3833" max="3833" width="4.625" style="10" customWidth="1"/>
    <col min="3834" max="3834" width="4.125" style="10" customWidth="1"/>
    <col min="3835" max="3835" width="8.625" style="10" customWidth="1"/>
    <col min="3836" max="3836" width="4.125" style="10" customWidth="1"/>
    <col min="3837" max="3837" width="4.625" style="10" customWidth="1"/>
    <col min="3838" max="3838" width="9.375" style="10" customWidth="1"/>
    <col min="3839" max="3839" width="1.375" style="10" customWidth="1"/>
    <col min="3840" max="4080" width="9" style="10"/>
    <col min="4081" max="4081" width="1.25" style="10" customWidth="1"/>
    <col min="4082" max="4082" width="7.25" style="10" customWidth="1"/>
    <col min="4083" max="4083" width="11.25" style="10" bestFit="1" customWidth="1"/>
    <col min="4084" max="4084" width="8.5" style="10" customWidth="1"/>
    <col min="4085" max="4085" width="17.375" style="10" customWidth="1"/>
    <col min="4086" max="4086" width="2.875" style="10" customWidth="1"/>
    <col min="4087" max="4087" width="4.25" style="10" customWidth="1"/>
    <col min="4088" max="4088" width="8.25" style="10" customWidth="1"/>
    <col min="4089" max="4089" width="4.625" style="10" customWidth="1"/>
    <col min="4090" max="4090" width="4.125" style="10" customWidth="1"/>
    <col min="4091" max="4091" width="8.625" style="10" customWidth="1"/>
    <col min="4092" max="4092" width="4.125" style="10" customWidth="1"/>
    <col min="4093" max="4093" width="4.625" style="10" customWidth="1"/>
    <col min="4094" max="4094" width="9.375" style="10" customWidth="1"/>
    <col min="4095" max="4095" width="1.375" style="10" customWidth="1"/>
    <col min="4096" max="4336" width="9" style="10"/>
    <col min="4337" max="4337" width="1.25" style="10" customWidth="1"/>
    <col min="4338" max="4338" width="7.25" style="10" customWidth="1"/>
    <col min="4339" max="4339" width="11.25" style="10" bestFit="1" customWidth="1"/>
    <col min="4340" max="4340" width="8.5" style="10" customWidth="1"/>
    <col min="4341" max="4341" width="17.375" style="10" customWidth="1"/>
    <col min="4342" max="4342" width="2.875" style="10" customWidth="1"/>
    <col min="4343" max="4343" width="4.25" style="10" customWidth="1"/>
    <col min="4344" max="4344" width="8.25" style="10" customWidth="1"/>
    <col min="4345" max="4345" width="4.625" style="10" customWidth="1"/>
    <col min="4346" max="4346" width="4.125" style="10" customWidth="1"/>
    <col min="4347" max="4347" width="8.625" style="10" customWidth="1"/>
    <col min="4348" max="4348" width="4.125" style="10" customWidth="1"/>
    <col min="4349" max="4349" width="4.625" style="10" customWidth="1"/>
    <col min="4350" max="4350" width="9.375" style="10" customWidth="1"/>
    <col min="4351" max="4351" width="1.375" style="10" customWidth="1"/>
    <col min="4352" max="4592" width="9" style="10"/>
    <col min="4593" max="4593" width="1.25" style="10" customWidth="1"/>
    <col min="4594" max="4594" width="7.25" style="10" customWidth="1"/>
    <col min="4595" max="4595" width="11.25" style="10" bestFit="1" customWidth="1"/>
    <col min="4596" max="4596" width="8.5" style="10" customWidth="1"/>
    <col min="4597" max="4597" width="17.375" style="10" customWidth="1"/>
    <col min="4598" max="4598" width="2.875" style="10" customWidth="1"/>
    <col min="4599" max="4599" width="4.25" style="10" customWidth="1"/>
    <col min="4600" max="4600" width="8.25" style="10" customWidth="1"/>
    <col min="4601" max="4601" width="4.625" style="10" customWidth="1"/>
    <col min="4602" max="4602" width="4.125" style="10" customWidth="1"/>
    <col min="4603" max="4603" width="8.625" style="10" customWidth="1"/>
    <col min="4604" max="4604" width="4.125" style="10" customWidth="1"/>
    <col min="4605" max="4605" width="4.625" style="10" customWidth="1"/>
    <col min="4606" max="4606" width="9.375" style="10" customWidth="1"/>
    <col min="4607" max="4607" width="1.375" style="10" customWidth="1"/>
    <col min="4608" max="4848" width="9" style="10"/>
    <col min="4849" max="4849" width="1.25" style="10" customWidth="1"/>
    <col min="4850" max="4850" width="7.25" style="10" customWidth="1"/>
    <col min="4851" max="4851" width="11.25" style="10" bestFit="1" customWidth="1"/>
    <col min="4852" max="4852" width="8.5" style="10" customWidth="1"/>
    <col min="4853" max="4853" width="17.375" style="10" customWidth="1"/>
    <col min="4854" max="4854" width="2.875" style="10" customWidth="1"/>
    <col min="4855" max="4855" width="4.25" style="10" customWidth="1"/>
    <col min="4856" max="4856" width="8.25" style="10" customWidth="1"/>
    <col min="4857" max="4857" width="4.625" style="10" customWidth="1"/>
    <col min="4858" max="4858" width="4.125" style="10" customWidth="1"/>
    <col min="4859" max="4859" width="8.625" style="10" customWidth="1"/>
    <col min="4860" max="4860" width="4.125" style="10" customWidth="1"/>
    <col min="4861" max="4861" width="4.625" style="10" customWidth="1"/>
    <col min="4862" max="4862" width="9.375" style="10" customWidth="1"/>
    <col min="4863" max="4863" width="1.375" style="10" customWidth="1"/>
    <col min="4864" max="5104" width="9" style="10"/>
    <col min="5105" max="5105" width="1.25" style="10" customWidth="1"/>
    <col min="5106" max="5106" width="7.25" style="10" customWidth="1"/>
    <col min="5107" max="5107" width="11.25" style="10" bestFit="1" customWidth="1"/>
    <col min="5108" max="5108" width="8.5" style="10" customWidth="1"/>
    <col min="5109" max="5109" width="17.375" style="10" customWidth="1"/>
    <col min="5110" max="5110" width="2.875" style="10" customWidth="1"/>
    <col min="5111" max="5111" width="4.25" style="10" customWidth="1"/>
    <col min="5112" max="5112" width="8.25" style="10" customWidth="1"/>
    <col min="5113" max="5113" width="4.625" style="10" customWidth="1"/>
    <col min="5114" max="5114" width="4.125" style="10" customWidth="1"/>
    <col min="5115" max="5115" width="8.625" style="10" customWidth="1"/>
    <col min="5116" max="5116" width="4.125" style="10" customWidth="1"/>
    <col min="5117" max="5117" width="4.625" style="10" customWidth="1"/>
    <col min="5118" max="5118" width="9.375" style="10" customWidth="1"/>
    <col min="5119" max="5119" width="1.375" style="10" customWidth="1"/>
    <col min="5120" max="5360" width="9" style="10"/>
    <col min="5361" max="5361" width="1.25" style="10" customWidth="1"/>
    <col min="5362" max="5362" width="7.25" style="10" customWidth="1"/>
    <col min="5363" max="5363" width="11.25" style="10" bestFit="1" customWidth="1"/>
    <col min="5364" max="5364" width="8.5" style="10" customWidth="1"/>
    <col min="5365" max="5365" width="17.375" style="10" customWidth="1"/>
    <col min="5366" max="5366" width="2.875" style="10" customWidth="1"/>
    <col min="5367" max="5367" width="4.25" style="10" customWidth="1"/>
    <col min="5368" max="5368" width="8.25" style="10" customWidth="1"/>
    <col min="5369" max="5369" width="4.625" style="10" customWidth="1"/>
    <col min="5370" max="5370" width="4.125" style="10" customWidth="1"/>
    <col min="5371" max="5371" width="8.625" style="10" customWidth="1"/>
    <col min="5372" max="5372" width="4.125" style="10" customWidth="1"/>
    <col min="5373" max="5373" width="4.625" style="10" customWidth="1"/>
    <col min="5374" max="5374" width="9.375" style="10" customWidth="1"/>
    <col min="5375" max="5375" width="1.375" style="10" customWidth="1"/>
    <col min="5376" max="5616" width="9" style="10"/>
    <col min="5617" max="5617" width="1.25" style="10" customWidth="1"/>
    <col min="5618" max="5618" width="7.25" style="10" customWidth="1"/>
    <col min="5619" max="5619" width="11.25" style="10" bestFit="1" customWidth="1"/>
    <col min="5620" max="5620" width="8.5" style="10" customWidth="1"/>
    <col min="5621" max="5621" width="17.375" style="10" customWidth="1"/>
    <col min="5622" max="5622" width="2.875" style="10" customWidth="1"/>
    <col min="5623" max="5623" width="4.25" style="10" customWidth="1"/>
    <col min="5624" max="5624" width="8.25" style="10" customWidth="1"/>
    <col min="5625" max="5625" width="4.625" style="10" customWidth="1"/>
    <col min="5626" max="5626" width="4.125" style="10" customWidth="1"/>
    <col min="5627" max="5627" width="8.625" style="10" customWidth="1"/>
    <col min="5628" max="5628" width="4.125" style="10" customWidth="1"/>
    <col min="5629" max="5629" width="4.625" style="10" customWidth="1"/>
    <col min="5630" max="5630" width="9.375" style="10" customWidth="1"/>
    <col min="5631" max="5631" width="1.375" style="10" customWidth="1"/>
    <col min="5632" max="5872" width="9" style="10"/>
    <col min="5873" max="5873" width="1.25" style="10" customWidth="1"/>
    <col min="5874" max="5874" width="7.25" style="10" customWidth="1"/>
    <col min="5875" max="5875" width="11.25" style="10" bestFit="1" customWidth="1"/>
    <col min="5876" max="5876" width="8.5" style="10" customWidth="1"/>
    <col min="5877" max="5877" width="17.375" style="10" customWidth="1"/>
    <col min="5878" max="5878" width="2.875" style="10" customWidth="1"/>
    <col min="5879" max="5879" width="4.25" style="10" customWidth="1"/>
    <col min="5880" max="5880" width="8.25" style="10" customWidth="1"/>
    <col min="5881" max="5881" width="4.625" style="10" customWidth="1"/>
    <col min="5882" max="5882" width="4.125" style="10" customWidth="1"/>
    <col min="5883" max="5883" width="8.625" style="10" customWidth="1"/>
    <col min="5884" max="5884" width="4.125" style="10" customWidth="1"/>
    <col min="5885" max="5885" width="4.625" style="10" customWidth="1"/>
    <col min="5886" max="5886" width="9.375" style="10" customWidth="1"/>
    <col min="5887" max="5887" width="1.375" style="10" customWidth="1"/>
    <col min="5888" max="6128" width="9" style="10"/>
    <col min="6129" max="6129" width="1.25" style="10" customWidth="1"/>
    <col min="6130" max="6130" width="7.25" style="10" customWidth="1"/>
    <col min="6131" max="6131" width="11.25" style="10" bestFit="1" customWidth="1"/>
    <col min="6132" max="6132" width="8.5" style="10" customWidth="1"/>
    <col min="6133" max="6133" width="17.375" style="10" customWidth="1"/>
    <col min="6134" max="6134" width="2.875" style="10" customWidth="1"/>
    <col min="6135" max="6135" width="4.25" style="10" customWidth="1"/>
    <col min="6136" max="6136" width="8.25" style="10" customWidth="1"/>
    <col min="6137" max="6137" width="4.625" style="10" customWidth="1"/>
    <col min="6138" max="6138" width="4.125" style="10" customWidth="1"/>
    <col min="6139" max="6139" width="8.625" style="10" customWidth="1"/>
    <col min="6140" max="6140" width="4.125" style="10" customWidth="1"/>
    <col min="6141" max="6141" width="4.625" style="10" customWidth="1"/>
    <col min="6142" max="6142" width="9.375" style="10" customWidth="1"/>
    <col min="6143" max="6143" width="1.375" style="10" customWidth="1"/>
    <col min="6144" max="6384" width="9" style="10"/>
    <col min="6385" max="6385" width="1.25" style="10" customWidth="1"/>
    <col min="6386" max="6386" width="7.25" style="10" customWidth="1"/>
    <col min="6387" max="6387" width="11.25" style="10" bestFit="1" customWidth="1"/>
    <col min="6388" max="6388" width="8.5" style="10" customWidth="1"/>
    <col min="6389" max="6389" width="17.375" style="10" customWidth="1"/>
    <col min="6390" max="6390" width="2.875" style="10" customWidth="1"/>
    <col min="6391" max="6391" width="4.25" style="10" customWidth="1"/>
    <col min="6392" max="6392" width="8.25" style="10" customWidth="1"/>
    <col min="6393" max="6393" width="4.625" style="10" customWidth="1"/>
    <col min="6394" max="6394" width="4.125" style="10" customWidth="1"/>
    <col min="6395" max="6395" width="8.625" style="10" customWidth="1"/>
    <col min="6396" max="6396" width="4.125" style="10" customWidth="1"/>
    <col min="6397" max="6397" width="4.625" style="10" customWidth="1"/>
    <col min="6398" max="6398" width="9.375" style="10" customWidth="1"/>
    <col min="6399" max="6399" width="1.375" style="10" customWidth="1"/>
    <col min="6400" max="6640" width="9" style="10"/>
    <col min="6641" max="6641" width="1.25" style="10" customWidth="1"/>
    <col min="6642" max="6642" width="7.25" style="10" customWidth="1"/>
    <col min="6643" max="6643" width="11.25" style="10" bestFit="1" customWidth="1"/>
    <col min="6644" max="6644" width="8.5" style="10" customWidth="1"/>
    <col min="6645" max="6645" width="17.375" style="10" customWidth="1"/>
    <col min="6646" max="6646" width="2.875" style="10" customWidth="1"/>
    <col min="6647" max="6647" width="4.25" style="10" customWidth="1"/>
    <col min="6648" max="6648" width="8.25" style="10" customWidth="1"/>
    <col min="6649" max="6649" width="4.625" style="10" customWidth="1"/>
    <col min="6650" max="6650" width="4.125" style="10" customWidth="1"/>
    <col min="6651" max="6651" width="8.625" style="10" customWidth="1"/>
    <col min="6652" max="6652" width="4.125" style="10" customWidth="1"/>
    <col min="6653" max="6653" width="4.625" style="10" customWidth="1"/>
    <col min="6654" max="6654" width="9.375" style="10" customWidth="1"/>
    <col min="6655" max="6655" width="1.375" style="10" customWidth="1"/>
    <col min="6656" max="6896" width="9" style="10"/>
    <col min="6897" max="6897" width="1.25" style="10" customWidth="1"/>
    <col min="6898" max="6898" width="7.25" style="10" customWidth="1"/>
    <col min="6899" max="6899" width="11.25" style="10" bestFit="1" customWidth="1"/>
    <col min="6900" max="6900" width="8.5" style="10" customWidth="1"/>
    <col min="6901" max="6901" width="17.375" style="10" customWidth="1"/>
    <col min="6902" max="6902" width="2.875" style="10" customWidth="1"/>
    <col min="6903" max="6903" width="4.25" style="10" customWidth="1"/>
    <col min="6904" max="6904" width="8.25" style="10" customWidth="1"/>
    <col min="6905" max="6905" width="4.625" style="10" customWidth="1"/>
    <col min="6906" max="6906" width="4.125" style="10" customWidth="1"/>
    <col min="6907" max="6907" width="8.625" style="10" customWidth="1"/>
    <col min="6908" max="6908" width="4.125" style="10" customWidth="1"/>
    <col min="6909" max="6909" width="4.625" style="10" customWidth="1"/>
    <col min="6910" max="6910" width="9.375" style="10" customWidth="1"/>
    <col min="6911" max="6911" width="1.375" style="10" customWidth="1"/>
    <col min="6912" max="7152" width="9" style="10"/>
    <col min="7153" max="7153" width="1.25" style="10" customWidth="1"/>
    <col min="7154" max="7154" width="7.25" style="10" customWidth="1"/>
    <col min="7155" max="7155" width="11.25" style="10" bestFit="1" customWidth="1"/>
    <col min="7156" max="7156" width="8.5" style="10" customWidth="1"/>
    <col min="7157" max="7157" width="17.375" style="10" customWidth="1"/>
    <col min="7158" max="7158" width="2.875" style="10" customWidth="1"/>
    <col min="7159" max="7159" width="4.25" style="10" customWidth="1"/>
    <col min="7160" max="7160" width="8.25" style="10" customWidth="1"/>
    <col min="7161" max="7161" width="4.625" style="10" customWidth="1"/>
    <col min="7162" max="7162" width="4.125" style="10" customWidth="1"/>
    <col min="7163" max="7163" width="8.625" style="10" customWidth="1"/>
    <col min="7164" max="7164" width="4.125" style="10" customWidth="1"/>
    <col min="7165" max="7165" width="4.625" style="10" customWidth="1"/>
    <col min="7166" max="7166" width="9.375" style="10" customWidth="1"/>
    <col min="7167" max="7167" width="1.375" style="10" customWidth="1"/>
    <col min="7168" max="7408" width="9" style="10"/>
    <col min="7409" max="7409" width="1.25" style="10" customWidth="1"/>
    <col min="7410" max="7410" width="7.25" style="10" customWidth="1"/>
    <col min="7411" max="7411" width="11.25" style="10" bestFit="1" customWidth="1"/>
    <col min="7412" max="7412" width="8.5" style="10" customWidth="1"/>
    <col min="7413" max="7413" width="17.375" style="10" customWidth="1"/>
    <col min="7414" max="7414" width="2.875" style="10" customWidth="1"/>
    <col min="7415" max="7415" width="4.25" style="10" customWidth="1"/>
    <col min="7416" max="7416" width="8.25" style="10" customWidth="1"/>
    <col min="7417" max="7417" width="4.625" style="10" customWidth="1"/>
    <col min="7418" max="7418" width="4.125" style="10" customWidth="1"/>
    <col min="7419" max="7419" width="8.625" style="10" customWidth="1"/>
    <col min="7420" max="7420" width="4.125" style="10" customWidth="1"/>
    <col min="7421" max="7421" width="4.625" style="10" customWidth="1"/>
    <col min="7422" max="7422" width="9.375" style="10" customWidth="1"/>
    <col min="7423" max="7423" width="1.375" style="10" customWidth="1"/>
    <col min="7424" max="7664" width="9" style="10"/>
    <col min="7665" max="7665" width="1.25" style="10" customWidth="1"/>
    <col min="7666" max="7666" width="7.25" style="10" customWidth="1"/>
    <col min="7667" max="7667" width="11.25" style="10" bestFit="1" customWidth="1"/>
    <col min="7668" max="7668" width="8.5" style="10" customWidth="1"/>
    <col min="7669" max="7669" width="17.375" style="10" customWidth="1"/>
    <col min="7670" max="7670" width="2.875" style="10" customWidth="1"/>
    <col min="7671" max="7671" width="4.25" style="10" customWidth="1"/>
    <col min="7672" max="7672" width="8.25" style="10" customWidth="1"/>
    <col min="7673" max="7673" width="4.625" style="10" customWidth="1"/>
    <col min="7674" max="7674" width="4.125" style="10" customWidth="1"/>
    <col min="7675" max="7675" width="8.625" style="10" customWidth="1"/>
    <col min="7676" max="7676" width="4.125" style="10" customWidth="1"/>
    <col min="7677" max="7677" width="4.625" style="10" customWidth="1"/>
    <col min="7678" max="7678" width="9.375" style="10" customWidth="1"/>
    <col min="7679" max="7679" width="1.375" style="10" customWidth="1"/>
    <col min="7680" max="7920" width="9" style="10"/>
    <col min="7921" max="7921" width="1.25" style="10" customWidth="1"/>
    <col min="7922" max="7922" width="7.25" style="10" customWidth="1"/>
    <col min="7923" max="7923" width="11.25" style="10" bestFit="1" customWidth="1"/>
    <col min="7924" max="7924" width="8.5" style="10" customWidth="1"/>
    <col min="7925" max="7925" width="17.375" style="10" customWidth="1"/>
    <col min="7926" max="7926" width="2.875" style="10" customWidth="1"/>
    <col min="7927" max="7927" width="4.25" style="10" customWidth="1"/>
    <col min="7928" max="7928" width="8.25" style="10" customWidth="1"/>
    <col min="7929" max="7929" width="4.625" style="10" customWidth="1"/>
    <col min="7930" max="7930" width="4.125" style="10" customWidth="1"/>
    <col min="7931" max="7931" width="8.625" style="10" customWidth="1"/>
    <col min="7932" max="7932" width="4.125" style="10" customWidth="1"/>
    <col min="7933" max="7933" width="4.625" style="10" customWidth="1"/>
    <col min="7934" max="7934" width="9.375" style="10" customWidth="1"/>
    <col min="7935" max="7935" width="1.375" style="10" customWidth="1"/>
    <col min="7936" max="8176" width="9" style="10"/>
    <col min="8177" max="8177" width="1.25" style="10" customWidth="1"/>
    <col min="8178" max="8178" width="7.25" style="10" customWidth="1"/>
    <col min="8179" max="8179" width="11.25" style="10" bestFit="1" customWidth="1"/>
    <col min="8180" max="8180" width="8.5" style="10" customWidth="1"/>
    <col min="8181" max="8181" width="17.375" style="10" customWidth="1"/>
    <col min="8182" max="8182" width="2.875" style="10" customWidth="1"/>
    <col min="8183" max="8183" width="4.25" style="10" customWidth="1"/>
    <col min="8184" max="8184" width="8.25" style="10" customWidth="1"/>
    <col min="8185" max="8185" width="4.625" style="10" customWidth="1"/>
    <col min="8186" max="8186" width="4.125" style="10" customWidth="1"/>
    <col min="8187" max="8187" width="8.625" style="10" customWidth="1"/>
    <col min="8188" max="8188" width="4.125" style="10" customWidth="1"/>
    <col min="8189" max="8189" width="4.625" style="10" customWidth="1"/>
    <col min="8190" max="8190" width="9.375" style="10" customWidth="1"/>
    <col min="8191" max="8191" width="1.375" style="10" customWidth="1"/>
    <col min="8192" max="8432" width="9" style="10"/>
    <col min="8433" max="8433" width="1.25" style="10" customWidth="1"/>
    <col min="8434" max="8434" width="7.25" style="10" customWidth="1"/>
    <col min="8435" max="8435" width="11.25" style="10" bestFit="1" customWidth="1"/>
    <col min="8436" max="8436" width="8.5" style="10" customWidth="1"/>
    <col min="8437" max="8437" width="17.375" style="10" customWidth="1"/>
    <col min="8438" max="8438" width="2.875" style="10" customWidth="1"/>
    <col min="8439" max="8439" width="4.25" style="10" customWidth="1"/>
    <col min="8440" max="8440" width="8.25" style="10" customWidth="1"/>
    <col min="8441" max="8441" width="4.625" style="10" customWidth="1"/>
    <col min="8442" max="8442" width="4.125" style="10" customWidth="1"/>
    <col min="8443" max="8443" width="8.625" style="10" customWidth="1"/>
    <col min="8444" max="8444" width="4.125" style="10" customWidth="1"/>
    <col min="8445" max="8445" width="4.625" style="10" customWidth="1"/>
    <col min="8446" max="8446" width="9.375" style="10" customWidth="1"/>
    <col min="8447" max="8447" width="1.375" style="10" customWidth="1"/>
    <col min="8448" max="8688" width="9" style="10"/>
    <col min="8689" max="8689" width="1.25" style="10" customWidth="1"/>
    <col min="8690" max="8690" width="7.25" style="10" customWidth="1"/>
    <col min="8691" max="8691" width="11.25" style="10" bestFit="1" customWidth="1"/>
    <col min="8692" max="8692" width="8.5" style="10" customWidth="1"/>
    <col min="8693" max="8693" width="17.375" style="10" customWidth="1"/>
    <col min="8694" max="8694" width="2.875" style="10" customWidth="1"/>
    <col min="8695" max="8695" width="4.25" style="10" customWidth="1"/>
    <col min="8696" max="8696" width="8.25" style="10" customWidth="1"/>
    <col min="8697" max="8697" width="4.625" style="10" customWidth="1"/>
    <col min="8698" max="8698" width="4.125" style="10" customWidth="1"/>
    <col min="8699" max="8699" width="8.625" style="10" customWidth="1"/>
    <col min="8700" max="8700" width="4.125" style="10" customWidth="1"/>
    <col min="8701" max="8701" width="4.625" style="10" customWidth="1"/>
    <col min="8702" max="8702" width="9.375" style="10" customWidth="1"/>
    <col min="8703" max="8703" width="1.375" style="10" customWidth="1"/>
    <col min="8704" max="8944" width="9" style="10"/>
    <col min="8945" max="8945" width="1.25" style="10" customWidth="1"/>
    <col min="8946" max="8946" width="7.25" style="10" customWidth="1"/>
    <col min="8947" max="8947" width="11.25" style="10" bestFit="1" customWidth="1"/>
    <col min="8948" max="8948" width="8.5" style="10" customWidth="1"/>
    <col min="8949" max="8949" width="17.375" style="10" customWidth="1"/>
    <col min="8950" max="8950" width="2.875" style="10" customWidth="1"/>
    <col min="8951" max="8951" width="4.25" style="10" customWidth="1"/>
    <col min="8952" max="8952" width="8.25" style="10" customWidth="1"/>
    <col min="8953" max="8953" width="4.625" style="10" customWidth="1"/>
    <col min="8954" max="8954" width="4.125" style="10" customWidth="1"/>
    <col min="8955" max="8955" width="8.625" style="10" customWidth="1"/>
    <col min="8956" max="8956" width="4.125" style="10" customWidth="1"/>
    <col min="8957" max="8957" width="4.625" style="10" customWidth="1"/>
    <col min="8958" max="8958" width="9.375" style="10" customWidth="1"/>
    <col min="8959" max="8959" width="1.375" style="10" customWidth="1"/>
    <col min="8960" max="9200" width="9" style="10"/>
    <col min="9201" max="9201" width="1.25" style="10" customWidth="1"/>
    <col min="9202" max="9202" width="7.25" style="10" customWidth="1"/>
    <col min="9203" max="9203" width="11.25" style="10" bestFit="1" customWidth="1"/>
    <col min="9204" max="9204" width="8.5" style="10" customWidth="1"/>
    <col min="9205" max="9205" width="17.375" style="10" customWidth="1"/>
    <col min="9206" max="9206" width="2.875" style="10" customWidth="1"/>
    <col min="9207" max="9207" width="4.25" style="10" customWidth="1"/>
    <col min="9208" max="9208" width="8.25" style="10" customWidth="1"/>
    <col min="9209" max="9209" width="4.625" style="10" customWidth="1"/>
    <col min="9210" max="9210" width="4.125" style="10" customWidth="1"/>
    <col min="9211" max="9211" width="8.625" style="10" customWidth="1"/>
    <col min="9212" max="9212" width="4.125" style="10" customWidth="1"/>
    <col min="9213" max="9213" width="4.625" style="10" customWidth="1"/>
    <col min="9214" max="9214" width="9.375" style="10" customWidth="1"/>
    <col min="9215" max="9215" width="1.375" style="10" customWidth="1"/>
    <col min="9216" max="9456" width="9" style="10"/>
    <col min="9457" max="9457" width="1.25" style="10" customWidth="1"/>
    <col min="9458" max="9458" width="7.25" style="10" customWidth="1"/>
    <col min="9459" max="9459" width="11.25" style="10" bestFit="1" customWidth="1"/>
    <col min="9460" max="9460" width="8.5" style="10" customWidth="1"/>
    <col min="9461" max="9461" width="17.375" style="10" customWidth="1"/>
    <col min="9462" max="9462" width="2.875" style="10" customWidth="1"/>
    <col min="9463" max="9463" width="4.25" style="10" customWidth="1"/>
    <col min="9464" max="9464" width="8.25" style="10" customWidth="1"/>
    <col min="9465" max="9465" width="4.625" style="10" customWidth="1"/>
    <col min="9466" max="9466" width="4.125" style="10" customWidth="1"/>
    <col min="9467" max="9467" width="8.625" style="10" customWidth="1"/>
    <col min="9468" max="9468" width="4.125" style="10" customWidth="1"/>
    <col min="9469" max="9469" width="4.625" style="10" customWidth="1"/>
    <col min="9470" max="9470" width="9.375" style="10" customWidth="1"/>
    <col min="9471" max="9471" width="1.375" style="10" customWidth="1"/>
    <col min="9472" max="9712" width="9" style="10"/>
    <col min="9713" max="9713" width="1.25" style="10" customWidth="1"/>
    <col min="9714" max="9714" width="7.25" style="10" customWidth="1"/>
    <col min="9715" max="9715" width="11.25" style="10" bestFit="1" customWidth="1"/>
    <col min="9716" max="9716" width="8.5" style="10" customWidth="1"/>
    <col min="9717" max="9717" width="17.375" style="10" customWidth="1"/>
    <col min="9718" max="9718" width="2.875" style="10" customWidth="1"/>
    <col min="9719" max="9719" width="4.25" style="10" customWidth="1"/>
    <col min="9720" max="9720" width="8.25" style="10" customWidth="1"/>
    <col min="9721" max="9721" width="4.625" style="10" customWidth="1"/>
    <col min="9722" max="9722" width="4.125" style="10" customWidth="1"/>
    <col min="9723" max="9723" width="8.625" style="10" customWidth="1"/>
    <col min="9724" max="9724" width="4.125" style="10" customWidth="1"/>
    <col min="9725" max="9725" width="4.625" style="10" customWidth="1"/>
    <col min="9726" max="9726" width="9.375" style="10" customWidth="1"/>
    <col min="9727" max="9727" width="1.375" style="10" customWidth="1"/>
    <col min="9728" max="9968" width="9" style="10"/>
    <col min="9969" max="9969" width="1.25" style="10" customWidth="1"/>
    <col min="9970" max="9970" width="7.25" style="10" customWidth="1"/>
    <col min="9971" max="9971" width="11.25" style="10" bestFit="1" customWidth="1"/>
    <col min="9972" max="9972" width="8.5" style="10" customWidth="1"/>
    <col min="9973" max="9973" width="17.375" style="10" customWidth="1"/>
    <col min="9974" max="9974" width="2.875" style="10" customWidth="1"/>
    <col min="9975" max="9975" width="4.25" style="10" customWidth="1"/>
    <col min="9976" max="9976" width="8.25" style="10" customWidth="1"/>
    <col min="9977" max="9977" width="4.625" style="10" customWidth="1"/>
    <col min="9978" max="9978" width="4.125" style="10" customWidth="1"/>
    <col min="9979" max="9979" width="8.625" style="10" customWidth="1"/>
    <col min="9980" max="9980" width="4.125" style="10" customWidth="1"/>
    <col min="9981" max="9981" width="4.625" style="10" customWidth="1"/>
    <col min="9982" max="9982" width="9.375" style="10" customWidth="1"/>
    <col min="9983" max="9983" width="1.375" style="10" customWidth="1"/>
    <col min="9984" max="10224" width="9" style="10"/>
    <col min="10225" max="10225" width="1.25" style="10" customWidth="1"/>
    <col min="10226" max="10226" width="7.25" style="10" customWidth="1"/>
    <col min="10227" max="10227" width="11.25" style="10" bestFit="1" customWidth="1"/>
    <col min="10228" max="10228" width="8.5" style="10" customWidth="1"/>
    <col min="10229" max="10229" width="17.375" style="10" customWidth="1"/>
    <col min="10230" max="10230" width="2.875" style="10" customWidth="1"/>
    <col min="10231" max="10231" width="4.25" style="10" customWidth="1"/>
    <col min="10232" max="10232" width="8.25" style="10" customWidth="1"/>
    <col min="10233" max="10233" width="4.625" style="10" customWidth="1"/>
    <col min="10234" max="10234" width="4.125" style="10" customWidth="1"/>
    <col min="10235" max="10235" width="8.625" style="10" customWidth="1"/>
    <col min="10236" max="10236" width="4.125" style="10" customWidth="1"/>
    <col min="10237" max="10237" width="4.625" style="10" customWidth="1"/>
    <col min="10238" max="10238" width="9.375" style="10" customWidth="1"/>
    <col min="10239" max="10239" width="1.375" style="10" customWidth="1"/>
    <col min="10240" max="10480" width="9" style="10"/>
    <col min="10481" max="10481" width="1.25" style="10" customWidth="1"/>
    <col min="10482" max="10482" width="7.25" style="10" customWidth="1"/>
    <col min="10483" max="10483" width="11.25" style="10" bestFit="1" customWidth="1"/>
    <col min="10484" max="10484" width="8.5" style="10" customWidth="1"/>
    <col min="10485" max="10485" width="17.375" style="10" customWidth="1"/>
    <col min="10486" max="10486" width="2.875" style="10" customWidth="1"/>
    <col min="10487" max="10487" width="4.25" style="10" customWidth="1"/>
    <col min="10488" max="10488" width="8.25" style="10" customWidth="1"/>
    <col min="10489" max="10489" width="4.625" style="10" customWidth="1"/>
    <col min="10490" max="10490" width="4.125" style="10" customWidth="1"/>
    <col min="10491" max="10491" width="8.625" style="10" customWidth="1"/>
    <col min="10492" max="10492" width="4.125" style="10" customWidth="1"/>
    <col min="10493" max="10493" width="4.625" style="10" customWidth="1"/>
    <col min="10494" max="10494" width="9.375" style="10" customWidth="1"/>
    <col min="10495" max="10495" width="1.375" style="10" customWidth="1"/>
    <col min="10496" max="10736" width="9" style="10"/>
    <col min="10737" max="10737" width="1.25" style="10" customWidth="1"/>
    <col min="10738" max="10738" width="7.25" style="10" customWidth="1"/>
    <col min="10739" max="10739" width="11.25" style="10" bestFit="1" customWidth="1"/>
    <col min="10740" max="10740" width="8.5" style="10" customWidth="1"/>
    <col min="10741" max="10741" width="17.375" style="10" customWidth="1"/>
    <col min="10742" max="10742" width="2.875" style="10" customWidth="1"/>
    <col min="10743" max="10743" width="4.25" style="10" customWidth="1"/>
    <col min="10744" max="10744" width="8.25" style="10" customWidth="1"/>
    <col min="10745" max="10745" width="4.625" style="10" customWidth="1"/>
    <col min="10746" max="10746" width="4.125" style="10" customWidth="1"/>
    <col min="10747" max="10747" width="8.625" style="10" customWidth="1"/>
    <col min="10748" max="10748" width="4.125" style="10" customWidth="1"/>
    <col min="10749" max="10749" width="4.625" style="10" customWidth="1"/>
    <col min="10750" max="10750" width="9.375" style="10" customWidth="1"/>
    <col min="10751" max="10751" width="1.375" style="10" customWidth="1"/>
    <col min="10752" max="10992" width="9" style="10"/>
    <col min="10993" max="10993" width="1.25" style="10" customWidth="1"/>
    <col min="10994" max="10994" width="7.25" style="10" customWidth="1"/>
    <col min="10995" max="10995" width="11.25" style="10" bestFit="1" customWidth="1"/>
    <col min="10996" max="10996" width="8.5" style="10" customWidth="1"/>
    <col min="10997" max="10997" width="17.375" style="10" customWidth="1"/>
    <col min="10998" max="10998" width="2.875" style="10" customWidth="1"/>
    <col min="10999" max="10999" width="4.25" style="10" customWidth="1"/>
    <col min="11000" max="11000" width="8.25" style="10" customWidth="1"/>
    <col min="11001" max="11001" width="4.625" style="10" customWidth="1"/>
    <col min="11002" max="11002" width="4.125" style="10" customWidth="1"/>
    <col min="11003" max="11003" width="8.625" style="10" customWidth="1"/>
    <col min="11004" max="11004" width="4.125" style="10" customWidth="1"/>
    <col min="11005" max="11005" width="4.625" style="10" customWidth="1"/>
    <col min="11006" max="11006" width="9.375" style="10" customWidth="1"/>
    <col min="11007" max="11007" width="1.375" style="10" customWidth="1"/>
    <col min="11008" max="11248" width="9" style="10"/>
    <col min="11249" max="11249" width="1.25" style="10" customWidth="1"/>
    <col min="11250" max="11250" width="7.25" style="10" customWidth="1"/>
    <col min="11251" max="11251" width="11.25" style="10" bestFit="1" customWidth="1"/>
    <col min="11252" max="11252" width="8.5" style="10" customWidth="1"/>
    <col min="11253" max="11253" width="17.375" style="10" customWidth="1"/>
    <col min="11254" max="11254" width="2.875" style="10" customWidth="1"/>
    <col min="11255" max="11255" width="4.25" style="10" customWidth="1"/>
    <col min="11256" max="11256" width="8.25" style="10" customWidth="1"/>
    <col min="11257" max="11257" width="4.625" style="10" customWidth="1"/>
    <col min="11258" max="11258" width="4.125" style="10" customWidth="1"/>
    <col min="11259" max="11259" width="8.625" style="10" customWidth="1"/>
    <col min="11260" max="11260" width="4.125" style="10" customWidth="1"/>
    <col min="11261" max="11261" width="4.625" style="10" customWidth="1"/>
    <col min="11262" max="11262" width="9.375" style="10" customWidth="1"/>
    <col min="11263" max="11263" width="1.375" style="10" customWidth="1"/>
    <col min="11264" max="11504" width="9" style="10"/>
    <col min="11505" max="11505" width="1.25" style="10" customWidth="1"/>
    <col min="11506" max="11506" width="7.25" style="10" customWidth="1"/>
    <col min="11507" max="11507" width="11.25" style="10" bestFit="1" customWidth="1"/>
    <col min="11508" max="11508" width="8.5" style="10" customWidth="1"/>
    <col min="11509" max="11509" width="17.375" style="10" customWidth="1"/>
    <col min="11510" max="11510" width="2.875" style="10" customWidth="1"/>
    <col min="11511" max="11511" width="4.25" style="10" customWidth="1"/>
    <col min="11512" max="11512" width="8.25" style="10" customWidth="1"/>
    <col min="11513" max="11513" width="4.625" style="10" customWidth="1"/>
    <col min="11514" max="11514" width="4.125" style="10" customWidth="1"/>
    <col min="11515" max="11515" width="8.625" style="10" customWidth="1"/>
    <col min="11516" max="11516" width="4.125" style="10" customWidth="1"/>
    <col min="11517" max="11517" width="4.625" style="10" customWidth="1"/>
    <col min="11518" max="11518" width="9.375" style="10" customWidth="1"/>
    <col min="11519" max="11519" width="1.375" style="10" customWidth="1"/>
    <col min="11520" max="11760" width="9" style="10"/>
    <col min="11761" max="11761" width="1.25" style="10" customWidth="1"/>
    <col min="11762" max="11762" width="7.25" style="10" customWidth="1"/>
    <col min="11763" max="11763" width="11.25" style="10" bestFit="1" customWidth="1"/>
    <col min="11764" max="11764" width="8.5" style="10" customWidth="1"/>
    <col min="11765" max="11765" width="17.375" style="10" customWidth="1"/>
    <col min="11766" max="11766" width="2.875" style="10" customWidth="1"/>
    <col min="11767" max="11767" width="4.25" style="10" customWidth="1"/>
    <col min="11768" max="11768" width="8.25" style="10" customWidth="1"/>
    <col min="11769" max="11769" width="4.625" style="10" customWidth="1"/>
    <col min="11770" max="11770" width="4.125" style="10" customWidth="1"/>
    <col min="11771" max="11771" width="8.625" style="10" customWidth="1"/>
    <col min="11772" max="11772" width="4.125" style="10" customWidth="1"/>
    <col min="11773" max="11773" width="4.625" style="10" customWidth="1"/>
    <col min="11774" max="11774" width="9.375" style="10" customWidth="1"/>
    <col min="11775" max="11775" width="1.375" style="10" customWidth="1"/>
    <col min="11776" max="12016" width="9" style="10"/>
    <col min="12017" max="12017" width="1.25" style="10" customWidth="1"/>
    <col min="12018" max="12018" width="7.25" style="10" customWidth="1"/>
    <col min="12019" max="12019" width="11.25" style="10" bestFit="1" customWidth="1"/>
    <col min="12020" max="12020" width="8.5" style="10" customWidth="1"/>
    <col min="12021" max="12021" width="17.375" style="10" customWidth="1"/>
    <col min="12022" max="12022" width="2.875" style="10" customWidth="1"/>
    <col min="12023" max="12023" width="4.25" style="10" customWidth="1"/>
    <col min="12024" max="12024" width="8.25" style="10" customWidth="1"/>
    <col min="12025" max="12025" width="4.625" style="10" customWidth="1"/>
    <col min="12026" max="12026" width="4.125" style="10" customWidth="1"/>
    <col min="12027" max="12027" width="8.625" style="10" customWidth="1"/>
    <col min="12028" max="12028" width="4.125" style="10" customWidth="1"/>
    <col min="12029" max="12029" width="4.625" style="10" customWidth="1"/>
    <col min="12030" max="12030" width="9.375" style="10" customWidth="1"/>
    <col min="12031" max="12031" width="1.375" style="10" customWidth="1"/>
    <col min="12032" max="12272" width="9" style="10"/>
    <col min="12273" max="12273" width="1.25" style="10" customWidth="1"/>
    <col min="12274" max="12274" width="7.25" style="10" customWidth="1"/>
    <col min="12275" max="12275" width="11.25" style="10" bestFit="1" customWidth="1"/>
    <col min="12276" max="12276" width="8.5" style="10" customWidth="1"/>
    <col min="12277" max="12277" width="17.375" style="10" customWidth="1"/>
    <col min="12278" max="12278" width="2.875" style="10" customWidth="1"/>
    <col min="12279" max="12279" width="4.25" style="10" customWidth="1"/>
    <col min="12280" max="12280" width="8.25" style="10" customWidth="1"/>
    <col min="12281" max="12281" width="4.625" style="10" customWidth="1"/>
    <col min="12282" max="12282" width="4.125" style="10" customWidth="1"/>
    <col min="12283" max="12283" width="8.625" style="10" customWidth="1"/>
    <col min="12284" max="12284" width="4.125" style="10" customWidth="1"/>
    <col min="12285" max="12285" width="4.625" style="10" customWidth="1"/>
    <col min="12286" max="12286" width="9.375" style="10" customWidth="1"/>
    <col min="12287" max="12287" width="1.375" style="10" customWidth="1"/>
    <col min="12288" max="12528" width="9" style="10"/>
    <col min="12529" max="12529" width="1.25" style="10" customWidth="1"/>
    <col min="12530" max="12530" width="7.25" style="10" customWidth="1"/>
    <col min="12531" max="12531" width="11.25" style="10" bestFit="1" customWidth="1"/>
    <col min="12532" max="12532" width="8.5" style="10" customWidth="1"/>
    <col min="12533" max="12533" width="17.375" style="10" customWidth="1"/>
    <col min="12534" max="12534" width="2.875" style="10" customWidth="1"/>
    <col min="12535" max="12535" width="4.25" style="10" customWidth="1"/>
    <col min="12536" max="12536" width="8.25" style="10" customWidth="1"/>
    <col min="12537" max="12537" width="4.625" style="10" customWidth="1"/>
    <col min="12538" max="12538" width="4.125" style="10" customWidth="1"/>
    <col min="12539" max="12539" width="8.625" style="10" customWidth="1"/>
    <col min="12540" max="12540" width="4.125" style="10" customWidth="1"/>
    <col min="12541" max="12541" width="4.625" style="10" customWidth="1"/>
    <col min="12542" max="12542" width="9.375" style="10" customWidth="1"/>
    <col min="12543" max="12543" width="1.375" style="10" customWidth="1"/>
    <col min="12544" max="12784" width="9" style="10"/>
    <col min="12785" max="12785" width="1.25" style="10" customWidth="1"/>
    <col min="12786" max="12786" width="7.25" style="10" customWidth="1"/>
    <col min="12787" max="12787" width="11.25" style="10" bestFit="1" customWidth="1"/>
    <col min="12788" max="12788" width="8.5" style="10" customWidth="1"/>
    <col min="12789" max="12789" width="17.375" style="10" customWidth="1"/>
    <col min="12790" max="12790" width="2.875" style="10" customWidth="1"/>
    <col min="12791" max="12791" width="4.25" style="10" customWidth="1"/>
    <col min="12792" max="12792" width="8.25" style="10" customWidth="1"/>
    <col min="12793" max="12793" width="4.625" style="10" customWidth="1"/>
    <col min="12794" max="12794" width="4.125" style="10" customWidth="1"/>
    <col min="12795" max="12795" width="8.625" style="10" customWidth="1"/>
    <col min="12796" max="12796" width="4.125" style="10" customWidth="1"/>
    <col min="12797" max="12797" width="4.625" style="10" customWidth="1"/>
    <col min="12798" max="12798" width="9.375" style="10" customWidth="1"/>
    <col min="12799" max="12799" width="1.375" style="10" customWidth="1"/>
    <col min="12800" max="13040" width="9" style="10"/>
    <col min="13041" max="13041" width="1.25" style="10" customWidth="1"/>
    <col min="13042" max="13042" width="7.25" style="10" customWidth="1"/>
    <col min="13043" max="13043" width="11.25" style="10" bestFit="1" customWidth="1"/>
    <col min="13044" max="13044" width="8.5" style="10" customWidth="1"/>
    <col min="13045" max="13045" width="17.375" style="10" customWidth="1"/>
    <col min="13046" max="13046" width="2.875" style="10" customWidth="1"/>
    <col min="13047" max="13047" width="4.25" style="10" customWidth="1"/>
    <col min="13048" max="13048" width="8.25" style="10" customWidth="1"/>
    <col min="13049" max="13049" width="4.625" style="10" customWidth="1"/>
    <col min="13050" max="13050" width="4.125" style="10" customWidth="1"/>
    <col min="13051" max="13051" width="8.625" style="10" customWidth="1"/>
    <col min="13052" max="13052" width="4.125" style="10" customWidth="1"/>
    <col min="13053" max="13053" width="4.625" style="10" customWidth="1"/>
    <col min="13054" max="13054" width="9.375" style="10" customWidth="1"/>
    <col min="13055" max="13055" width="1.375" style="10" customWidth="1"/>
    <col min="13056" max="13296" width="9" style="10"/>
    <col min="13297" max="13297" width="1.25" style="10" customWidth="1"/>
    <col min="13298" max="13298" width="7.25" style="10" customWidth="1"/>
    <col min="13299" max="13299" width="11.25" style="10" bestFit="1" customWidth="1"/>
    <col min="13300" max="13300" width="8.5" style="10" customWidth="1"/>
    <col min="13301" max="13301" width="17.375" style="10" customWidth="1"/>
    <col min="13302" max="13302" width="2.875" style="10" customWidth="1"/>
    <col min="13303" max="13303" width="4.25" style="10" customWidth="1"/>
    <col min="13304" max="13304" width="8.25" style="10" customWidth="1"/>
    <col min="13305" max="13305" width="4.625" style="10" customWidth="1"/>
    <col min="13306" max="13306" width="4.125" style="10" customWidth="1"/>
    <col min="13307" max="13307" width="8.625" style="10" customWidth="1"/>
    <col min="13308" max="13308" width="4.125" style="10" customWidth="1"/>
    <col min="13309" max="13309" width="4.625" style="10" customWidth="1"/>
    <col min="13310" max="13310" width="9.375" style="10" customWidth="1"/>
    <col min="13311" max="13311" width="1.375" style="10" customWidth="1"/>
    <col min="13312" max="13552" width="9" style="10"/>
    <col min="13553" max="13553" width="1.25" style="10" customWidth="1"/>
    <col min="13554" max="13554" width="7.25" style="10" customWidth="1"/>
    <col min="13555" max="13555" width="11.25" style="10" bestFit="1" customWidth="1"/>
    <col min="13556" max="13556" width="8.5" style="10" customWidth="1"/>
    <col min="13557" max="13557" width="17.375" style="10" customWidth="1"/>
    <col min="13558" max="13558" width="2.875" style="10" customWidth="1"/>
    <col min="13559" max="13559" width="4.25" style="10" customWidth="1"/>
    <col min="13560" max="13560" width="8.25" style="10" customWidth="1"/>
    <col min="13561" max="13561" width="4.625" style="10" customWidth="1"/>
    <col min="13562" max="13562" width="4.125" style="10" customWidth="1"/>
    <col min="13563" max="13563" width="8.625" style="10" customWidth="1"/>
    <col min="13564" max="13564" width="4.125" style="10" customWidth="1"/>
    <col min="13565" max="13565" width="4.625" style="10" customWidth="1"/>
    <col min="13566" max="13566" width="9.375" style="10" customWidth="1"/>
    <col min="13567" max="13567" width="1.375" style="10" customWidth="1"/>
    <col min="13568" max="13808" width="9" style="10"/>
    <col min="13809" max="13809" width="1.25" style="10" customWidth="1"/>
    <col min="13810" max="13810" width="7.25" style="10" customWidth="1"/>
    <col min="13811" max="13811" width="11.25" style="10" bestFit="1" customWidth="1"/>
    <col min="13812" max="13812" width="8.5" style="10" customWidth="1"/>
    <col min="13813" max="13813" width="17.375" style="10" customWidth="1"/>
    <col min="13814" max="13814" width="2.875" style="10" customWidth="1"/>
    <col min="13815" max="13815" width="4.25" style="10" customWidth="1"/>
    <col min="13816" max="13816" width="8.25" style="10" customWidth="1"/>
    <col min="13817" max="13817" width="4.625" style="10" customWidth="1"/>
    <col min="13818" max="13818" width="4.125" style="10" customWidth="1"/>
    <col min="13819" max="13819" width="8.625" style="10" customWidth="1"/>
    <col min="13820" max="13820" width="4.125" style="10" customWidth="1"/>
    <col min="13821" max="13821" width="4.625" style="10" customWidth="1"/>
    <col min="13822" max="13822" width="9.375" style="10" customWidth="1"/>
    <col min="13823" max="13823" width="1.375" style="10" customWidth="1"/>
    <col min="13824" max="14064" width="9" style="10"/>
    <col min="14065" max="14065" width="1.25" style="10" customWidth="1"/>
    <col min="14066" max="14066" width="7.25" style="10" customWidth="1"/>
    <col min="14067" max="14067" width="11.25" style="10" bestFit="1" customWidth="1"/>
    <col min="14068" max="14068" width="8.5" style="10" customWidth="1"/>
    <col min="14069" max="14069" width="17.375" style="10" customWidth="1"/>
    <col min="14070" max="14070" width="2.875" style="10" customWidth="1"/>
    <col min="14071" max="14071" width="4.25" style="10" customWidth="1"/>
    <col min="14072" max="14072" width="8.25" style="10" customWidth="1"/>
    <col min="14073" max="14073" width="4.625" style="10" customWidth="1"/>
    <col min="14074" max="14074" width="4.125" style="10" customWidth="1"/>
    <col min="14075" max="14075" width="8.625" style="10" customWidth="1"/>
    <col min="14076" max="14076" width="4.125" style="10" customWidth="1"/>
    <col min="14077" max="14077" width="4.625" style="10" customWidth="1"/>
    <col min="14078" max="14078" width="9.375" style="10" customWidth="1"/>
    <col min="14079" max="14079" width="1.375" style="10" customWidth="1"/>
    <col min="14080" max="14320" width="9" style="10"/>
    <col min="14321" max="14321" width="1.25" style="10" customWidth="1"/>
    <col min="14322" max="14322" width="7.25" style="10" customWidth="1"/>
    <col min="14323" max="14323" width="11.25" style="10" bestFit="1" customWidth="1"/>
    <col min="14324" max="14324" width="8.5" style="10" customWidth="1"/>
    <col min="14325" max="14325" width="17.375" style="10" customWidth="1"/>
    <col min="14326" max="14326" width="2.875" style="10" customWidth="1"/>
    <col min="14327" max="14327" width="4.25" style="10" customWidth="1"/>
    <col min="14328" max="14328" width="8.25" style="10" customWidth="1"/>
    <col min="14329" max="14329" width="4.625" style="10" customWidth="1"/>
    <col min="14330" max="14330" width="4.125" style="10" customWidth="1"/>
    <col min="14331" max="14331" width="8.625" style="10" customWidth="1"/>
    <col min="14332" max="14332" width="4.125" style="10" customWidth="1"/>
    <col min="14333" max="14333" width="4.625" style="10" customWidth="1"/>
    <col min="14334" max="14334" width="9.375" style="10" customWidth="1"/>
    <col min="14335" max="14335" width="1.375" style="10" customWidth="1"/>
    <col min="14336" max="14576" width="9" style="10"/>
    <col min="14577" max="14577" width="1.25" style="10" customWidth="1"/>
    <col min="14578" max="14578" width="7.25" style="10" customWidth="1"/>
    <col min="14579" max="14579" width="11.25" style="10" bestFit="1" customWidth="1"/>
    <col min="14580" max="14580" width="8.5" style="10" customWidth="1"/>
    <col min="14581" max="14581" width="17.375" style="10" customWidth="1"/>
    <col min="14582" max="14582" width="2.875" style="10" customWidth="1"/>
    <col min="14583" max="14583" width="4.25" style="10" customWidth="1"/>
    <col min="14584" max="14584" width="8.25" style="10" customWidth="1"/>
    <col min="14585" max="14585" width="4.625" style="10" customWidth="1"/>
    <col min="14586" max="14586" width="4.125" style="10" customWidth="1"/>
    <col min="14587" max="14587" width="8.625" style="10" customWidth="1"/>
    <col min="14588" max="14588" width="4.125" style="10" customWidth="1"/>
    <col min="14589" max="14589" width="4.625" style="10" customWidth="1"/>
    <col min="14590" max="14590" width="9.375" style="10" customWidth="1"/>
    <col min="14591" max="14591" width="1.375" style="10" customWidth="1"/>
    <col min="14592" max="14832" width="9" style="10"/>
    <col min="14833" max="14833" width="1.25" style="10" customWidth="1"/>
    <col min="14834" max="14834" width="7.25" style="10" customWidth="1"/>
    <col min="14835" max="14835" width="11.25" style="10" bestFit="1" customWidth="1"/>
    <col min="14836" max="14836" width="8.5" style="10" customWidth="1"/>
    <col min="14837" max="14837" width="17.375" style="10" customWidth="1"/>
    <col min="14838" max="14838" width="2.875" style="10" customWidth="1"/>
    <col min="14839" max="14839" width="4.25" style="10" customWidth="1"/>
    <col min="14840" max="14840" width="8.25" style="10" customWidth="1"/>
    <col min="14841" max="14841" width="4.625" style="10" customWidth="1"/>
    <col min="14842" max="14842" width="4.125" style="10" customWidth="1"/>
    <col min="14843" max="14843" width="8.625" style="10" customWidth="1"/>
    <col min="14844" max="14844" width="4.125" style="10" customWidth="1"/>
    <col min="14845" max="14845" width="4.625" style="10" customWidth="1"/>
    <col min="14846" max="14846" width="9.375" style="10" customWidth="1"/>
    <col min="14847" max="14847" width="1.375" style="10" customWidth="1"/>
    <col min="14848" max="15088" width="9" style="10"/>
    <col min="15089" max="15089" width="1.25" style="10" customWidth="1"/>
    <col min="15090" max="15090" width="7.25" style="10" customWidth="1"/>
    <col min="15091" max="15091" width="11.25" style="10" bestFit="1" customWidth="1"/>
    <col min="15092" max="15092" width="8.5" style="10" customWidth="1"/>
    <col min="15093" max="15093" width="17.375" style="10" customWidth="1"/>
    <col min="15094" max="15094" width="2.875" style="10" customWidth="1"/>
    <col min="15095" max="15095" width="4.25" style="10" customWidth="1"/>
    <col min="15096" max="15096" width="8.25" style="10" customWidth="1"/>
    <col min="15097" max="15097" width="4.625" style="10" customWidth="1"/>
    <col min="15098" max="15098" width="4.125" style="10" customWidth="1"/>
    <col min="15099" max="15099" width="8.625" style="10" customWidth="1"/>
    <col min="15100" max="15100" width="4.125" style="10" customWidth="1"/>
    <col min="15101" max="15101" width="4.625" style="10" customWidth="1"/>
    <col min="15102" max="15102" width="9.375" style="10" customWidth="1"/>
    <col min="15103" max="15103" width="1.375" style="10" customWidth="1"/>
    <col min="15104" max="15344" width="9" style="10"/>
    <col min="15345" max="15345" width="1.25" style="10" customWidth="1"/>
    <col min="15346" max="15346" width="7.25" style="10" customWidth="1"/>
    <col min="15347" max="15347" width="11.25" style="10" bestFit="1" customWidth="1"/>
    <col min="15348" max="15348" width="8.5" style="10" customWidth="1"/>
    <col min="15349" max="15349" width="17.375" style="10" customWidth="1"/>
    <col min="15350" max="15350" width="2.875" style="10" customWidth="1"/>
    <col min="15351" max="15351" width="4.25" style="10" customWidth="1"/>
    <col min="15352" max="15352" width="8.25" style="10" customWidth="1"/>
    <col min="15353" max="15353" width="4.625" style="10" customWidth="1"/>
    <col min="15354" max="15354" width="4.125" style="10" customWidth="1"/>
    <col min="15355" max="15355" width="8.625" style="10" customWidth="1"/>
    <col min="15356" max="15356" width="4.125" style="10" customWidth="1"/>
    <col min="15357" max="15357" width="4.625" style="10" customWidth="1"/>
    <col min="15358" max="15358" width="9.375" style="10" customWidth="1"/>
    <col min="15359" max="15359" width="1.375" style="10" customWidth="1"/>
    <col min="15360" max="15600" width="9" style="10"/>
    <col min="15601" max="15601" width="1.25" style="10" customWidth="1"/>
    <col min="15602" max="15602" width="7.25" style="10" customWidth="1"/>
    <col min="15603" max="15603" width="11.25" style="10" bestFit="1" customWidth="1"/>
    <col min="15604" max="15604" width="8.5" style="10" customWidth="1"/>
    <col min="15605" max="15605" width="17.375" style="10" customWidth="1"/>
    <col min="15606" max="15606" width="2.875" style="10" customWidth="1"/>
    <col min="15607" max="15607" width="4.25" style="10" customWidth="1"/>
    <col min="15608" max="15608" width="8.25" style="10" customWidth="1"/>
    <col min="15609" max="15609" width="4.625" style="10" customWidth="1"/>
    <col min="15610" max="15610" width="4.125" style="10" customWidth="1"/>
    <col min="15611" max="15611" width="8.625" style="10" customWidth="1"/>
    <col min="15612" max="15612" width="4.125" style="10" customWidth="1"/>
    <col min="15613" max="15613" width="4.625" style="10" customWidth="1"/>
    <col min="15614" max="15614" width="9.375" style="10" customWidth="1"/>
    <col min="15615" max="15615" width="1.375" style="10" customWidth="1"/>
    <col min="15616" max="15856" width="9" style="10"/>
    <col min="15857" max="15857" width="1.25" style="10" customWidth="1"/>
    <col min="15858" max="15858" width="7.25" style="10" customWidth="1"/>
    <col min="15859" max="15859" width="11.25" style="10" bestFit="1" customWidth="1"/>
    <col min="15860" max="15860" width="8.5" style="10" customWidth="1"/>
    <col min="15861" max="15861" width="17.375" style="10" customWidth="1"/>
    <col min="15862" max="15862" width="2.875" style="10" customWidth="1"/>
    <col min="15863" max="15863" width="4.25" style="10" customWidth="1"/>
    <col min="15864" max="15864" width="8.25" style="10" customWidth="1"/>
    <col min="15865" max="15865" width="4.625" style="10" customWidth="1"/>
    <col min="15866" max="15866" width="4.125" style="10" customWidth="1"/>
    <col min="15867" max="15867" width="8.625" style="10" customWidth="1"/>
    <col min="15868" max="15868" width="4.125" style="10" customWidth="1"/>
    <col min="15869" max="15869" width="4.625" style="10" customWidth="1"/>
    <col min="15870" max="15870" width="9.375" style="10" customWidth="1"/>
    <col min="15871" max="15871" width="1.375" style="10" customWidth="1"/>
    <col min="15872" max="16112" width="9" style="10"/>
    <col min="16113" max="16113" width="1.25" style="10" customWidth="1"/>
    <col min="16114" max="16114" width="7.25" style="10" customWidth="1"/>
    <col min="16115" max="16115" width="11.25" style="10" bestFit="1" customWidth="1"/>
    <col min="16116" max="16116" width="8.5" style="10" customWidth="1"/>
    <col min="16117" max="16117" width="17.375" style="10" customWidth="1"/>
    <col min="16118" max="16118" width="2.875" style="10" customWidth="1"/>
    <col min="16119" max="16119" width="4.25" style="10" customWidth="1"/>
    <col min="16120" max="16120" width="8.25" style="10" customWidth="1"/>
    <col min="16121" max="16121" width="4.625" style="10" customWidth="1"/>
    <col min="16122" max="16122" width="4.125" style="10" customWidth="1"/>
    <col min="16123" max="16123" width="8.625" style="10" customWidth="1"/>
    <col min="16124" max="16124" width="4.125" style="10" customWidth="1"/>
    <col min="16125" max="16125" width="4.625" style="10" customWidth="1"/>
    <col min="16126" max="16126" width="9.375" style="10" customWidth="1"/>
    <col min="16127" max="16127" width="1.375" style="10" customWidth="1"/>
    <col min="16128" max="16384" width="9" style="10"/>
  </cols>
  <sheetData>
    <row r="1" spans="1:22" s="5" customFormat="1" ht="15" customHeight="1" x14ac:dyDescent="0.25">
      <c r="A1" s="3"/>
      <c r="B1" s="4"/>
      <c r="C1" s="4"/>
      <c r="D1" s="4"/>
      <c r="E1" s="4"/>
      <c r="F1" s="4"/>
      <c r="G1" s="4"/>
      <c r="H1" s="4"/>
      <c r="I1" s="4"/>
      <c r="J1" s="4"/>
      <c r="K1" s="4"/>
      <c r="L1" s="44"/>
      <c r="M1" s="44"/>
      <c r="N1" s="4"/>
      <c r="O1" s="4"/>
      <c r="P1" s="4"/>
      <c r="Q1" s="14"/>
      <c r="R1" s="14"/>
      <c r="S1" s="4"/>
    </row>
    <row r="2" spans="1:22" s="5" customFormat="1" ht="23.45" customHeight="1" x14ac:dyDescent="0.25">
      <c r="A2" s="6"/>
      <c r="C2" s="107">
        <v>1</v>
      </c>
      <c r="D2" s="107"/>
      <c r="E2" s="107"/>
      <c r="F2" s="107"/>
      <c r="G2" s="107"/>
      <c r="H2" s="107"/>
      <c r="I2" s="107"/>
      <c r="J2" s="107"/>
      <c r="K2" s="107"/>
      <c r="L2" s="55"/>
      <c r="M2" s="55"/>
      <c r="N2" s="54"/>
      <c r="O2" s="19"/>
      <c r="P2" s="19"/>
      <c r="Q2" s="20"/>
      <c r="R2" s="7"/>
    </row>
    <row r="3" spans="1:22" s="5" customFormat="1" ht="23.45" customHeight="1" x14ac:dyDescent="0.25">
      <c r="A3" s="6"/>
      <c r="C3" s="107"/>
      <c r="D3" s="107"/>
      <c r="E3" s="107"/>
      <c r="F3" s="107"/>
      <c r="G3" s="107"/>
      <c r="H3" s="107"/>
      <c r="I3" s="107"/>
      <c r="J3" s="107"/>
      <c r="K3" s="107"/>
      <c r="L3" s="55"/>
      <c r="M3" s="55"/>
      <c r="N3" s="54"/>
      <c r="O3" s="19"/>
      <c r="P3" s="19"/>
      <c r="Q3" s="20"/>
      <c r="S3" s="78" t="s">
        <v>0</v>
      </c>
      <c r="T3" s="78"/>
      <c r="U3" s="78"/>
    </row>
    <row r="4" spans="1:22" s="5" customFormat="1" ht="16.5" customHeight="1" x14ac:dyDescent="0.25">
      <c r="A4" s="6"/>
      <c r="C4" s="7"/>
      <c r="D4" s="7"/>
      <c r="E4" s="7"/>
      <c r="F4" s="7"/>
      <c r="G4" s="7"/>
      <c r="H4" s="7"/>
      <c r="I4" s="7"/>
      <c r="J4" s="7"/>
      <c r="K4" s="7"/>
      <c r="L4" s="47"/>
      <c r="M4" s="47"/>
      <c r="N4" s="7"/>
      <c r="O4" s="7"/>
      <c r="P4" s="7"/>
      <c r="Q4" s="7"/>
      <c r="S4" s="13" t="s">
        <v>1</v>
      </c>
      <c r="T4" s="13" t="s">
        <v>7</v>
      </c>
      <c r="U4" s="13" t="s">
        <v>12</v>
      </c>
    </row>
    <row r="5" spans="1:22" s="5" customFormat="1" ht="16.5" customHeight="1" x14ac:dyDescent="0.25">
      <c r="A5" s="6"/>
      <c r="C5" s="8"/>
      <c r="D5" s="8"/>
      <c r="E5" s="8"/>
      <c r="F5" s="8"/>
      <c r="G5" s="8"/>
      <c r="H5" s="8"/>
      <c r="I5" s="8"/>
      <c r="J5" s="8"/>
      <c r="K5" s="8"/>
      <c r="L5" s="47"/>
      <c r="M5" s="47"/>
      <c r="N5" s="8"/>
      <c r="O5" s="8"/>
      <c r="P5" s="8"/>
      <c r="Q5" s="7"/>
      <c r="S5" s="79"/>
      <c r="T5" s="79"/>
      <c r="U5" s="79"/>
    </row>
    <row r="6" spans="1:22" s="5" customFormat="1" ht="23.45" customHeight="1" x14ac:dyDescent="0.25">
      <c r="A6" s="6"/>
      <c r="C6" s="9" t="s">
        <v>17</v>
      </c>
      <c r="D6" s="56">
        <f ca="1">TODAY()</f>
        <v>46077</v>
      </c>
      <c r="E6" s="21"/>
      <c r="F6" s="21"/>
      <c r="G6" s="21"/>
      <c r="H6" s="21"/>
      <c r="I6" s="8"/>
      <c r="J6" s="8"/>
      <c r="K6" s="8"/>
      <c r="L6" s="47"/>
      <c r="M6" s="47"/>
      <c r="N6" s="8"/>
      <c r="O6" s="8"/>
      <c r="P6" s="8"/>
      <c r="Q6" s="7"/>
      <c r="S6" s="80"/>
      <c r="T6" s="80"/>
      <c r="U6" s="80"/>
    </row>
    <row r="7" spans="1:22" s="5" customFormat="1" ht="23.45" customHeight="1" x14ac:dyDescent="0.25">
      <c r="A7" s="6"/>
      <c r="C7" s="22" t="s">
        <v>13</v>
      </c>
      <c r="D7" s="57" t="s">
        <v>16</v>
      </c>
      <c r="E7" s="23"/>
      <c r="F7" s="23"/>
      <c r="G7" s="23"/>
      <c r="H7" s="23"/>
      <c r="I7" s="8"/>
      <c r="J7" s="8"/>
      <c r="K7" s="8"/>
      <c r="L7" s="47"/>
      <c r="M7" s="47"/>
      <c r="N7" s="8"/>
      <c r="O7" s="8"/>
      <c r="P7" s="8"/>
      <c r="Q7" s="7"/>
      <c r="S7" s="81"/>
      <c r="T7" s="81"/>
      <c r="U7" s="81"/>
    </row>
    <row r="8" spans="1:22" s="5" customFormat="1" ht="23.45" customHeight="1" x14ac:dyDescent="0.25">
      <c r="A8" s="6"/>
      <c r="C8" s="9" t="s">
        <v>2</v>
      </c>
      <c r="D8" s="57" t="s">
        <v>3</v>
      </c>
      <c r="E8" s="23"/>
      <c r="F8" s="23"/>
      <c r="G8" s="23"/>
      <c r="H8" s="23"/>
      <c r="I8" s="8"/>
      <c r="J8" s="8"/>
      <c r="K8" s="8"/>
      <c r="L8" s="47"/>
      <c r="M8" s="47"/>
      <c r="N8" s="8"/>
      <c r="O8" s="8"/>
      <c r="P8" s="8"/>
      <c r="Q8" s="7"/>
      <c r="R8" s="7"/>
    </row>
    <row r="9" spans="1:22" s="5" customFormat="1" ht="15" customHeight="1" thickBot="1" x14ac:dyDescent="0.3">
      <c r="A9" s="6"/>
      <c r="L9" s="45"/>
      <c r="M9" s="45"/>
      <c r="Q9" s="15"/>
      <c r="R9" s="15"/>
    </row>
    <row r="10" spans="1:22" s="5" customFormat="1" ht="20.100000000000001" customHeight="1" x14ac:dyDescent="0.25">
      <c r="A10" s="6"/>
      <c r="L10" s="45"/>
      <c r="M10" s="45"/>
      <c r="Q10" s="15"/>
      <c r="R10" s="15"/>
      <c r="S10" s="99" t="s">
        <v>47</v>
      </c>
      <c r="T10" s="100"/>
    </row>
    <row r="11" spans="1:22" s="5" customFormat="1" ht="20.100000000000001" customHeight="1" x14ac:dyDescent="0.25">
      <c r="L11" s="45"/>
      <c r="M11" s="45"/>
      <c r="Q11" s="15"/>
      <c r="R11" s="15"/>
      <c r="S11" s="24" t="s">
        <v>26</v>
      </c>
      <c r="T11" s="25" t="s">
        <v>27</v>
      </c>
    </row>
    <row r="12" spans="1:22" ht="24.75" customHeight="1" thickBot="1" x14ac:dyDescent="0.3">
      <c r="B12" s="5"/>
      <c r="C12" s="5"/>
      <c r="D12" s="5"/>
      <c r="E12" s="5"/>
      <c r="F12" s="5"/>
      <c r="G12" s="5"/>
      <c r="H12" s="5"/>
      <c r="I12" s="5"/>
      <c r="J12" s="5"/>
      <c r="K12" s="5"/>
      <c r="L12" s="45"/>
      <c r="M12" s="45"/>
      <c r="N12" s="5"/>
      <c r="O12" s="5"/>
      <c r="P12" s="5"/>
      <c r="Q12" s="5"/>
      <c r="R12" s="5"/>
      <c r="S12" s="51">
        <f>SUM(S17:S47)</f>
        <v>2</v>
      </c>
      <c r="T12" s="52">
        <f>SUM(T17:T47)</f>
        <v>2</v>
      </c>
    </row>
    <row r="13" spans="1:22" ht="23.25" customHeight="1" thickBot="1" x14ac:dyDescent="0.35">
      <c r="B13" s="82" t="s">
        <v>9</v>
      </c>
      <c r="C13" s="83"/>
      <c r="D13" s="83"/>
      <c r="E13" s="83"/>
      <c r="F13" s="83"/>
      <c r="G13" s="83"/>
      <c r="H13" s="83"/>
      <c r="I13" s="83"/>
      <c r="J13" s="83"/>
      <c r="K13" s="83"/>
      <c r="L13" s="83"/>
      <c r="M13" s="83"/>
      <c r="N13" s="83"/>
      <c r="O13" s="83"/>
      <c r="P13" s="83"/>
      <c r="Q13" s="83"/>
      <c r="R13" s="84"/>
      <c r="S13" s="104" t="s">
        <v>11</v>
      </c>
      <c r="T13" s="105"/>
      <c r="U13" s="105"/>
      <c r="V13" s="106"/>
    </row>
    <row r="14" spans="1:22" ht="23.25" customHeight="1" thickBot="1" x14ac:dyDescent="0.35">
      <c r="B14" s="85" t="s">
        <v>48</v>
      </c>
      <c r="C14" s="86"/>
      <c r="D14" s="86"/>
      <c r="E14" s="86"/>
      <c r="F14" s="86"/>
      <c r="G14" s="86"/>
      <c r="H14" s="86"/>
      <c r="I14" s="86"/>
      <c r="J14" s="86"/>
      <c r="K14" s="87"/>
      <c r="L14" s="92" t="s">
        <v>49</v>
      </c>
      <c r="M14" s="93"/>
      <c r="N14" s="93"/>
      <c r="O14" s="93"/>
      <c r="P14" s="94"/>
      <c r="Q14" s="94"/>
      <c r="R14" s="95"/>
      <c r="S14" s="101" t="s">
        <v>50</v>
      </c>
      <c r="T14" s="102"/>
      <c r="U14" s="102"/>
      <c r="V14" s="103"/>
    </row>
    <row r="15" spans="1:22" ht="45" customHeight="1" x14ac:dyDescent="0.3">
      <c r="B15" s="12" t="s">
        <v>4</v>
      </c>
      <c r="C15" s="12" t="s">
        <v>5</v>
      </c>
      <c r="D15" s="89" t="s">
        <v>14</v>
      </c>
      <c r="E15" s="90"/>
      <c r="F15" s="91"/>
      <c r="G15" s="26" t="s">
        <v>18</v>
      </c>
      <c r="H15" s="17" t="s">
        <v>19</v>
      </c>
      <c r="I15" s="27" t="s">
        <v>22</v>
      </c>
      <c r="J15" s="35" t="s">
        <v>23</v>
      </c>
      <c r="K15" s="33" t="s">
        <v>30</v>
      </c>
      <c r="L15" s="49" t="s">
        <v>24</v>
      </c>
      <c r="M15" s="50" t="s">
        <v>25</v>
      </c>
      <c r="N15" s="28" t="s">
        <v>15</v>
      </c>
      <c r="O15" s="36" t="s">
        <v>8</v>
      </c>
      <c r="P15" s="37" t="s">
        <v>37</v>
      </c>
      <c r="Q15" s="37" t="s">
        <v>38</v>
      </c>
      <c r="R15" s="38" t="s">
        <v>39</v>
      </c>
      <c r="S15" s="39" t="s">
        <v>20</v>
      </c>
      <c r="T15" s="40" t="s">
        <v>21</v>
      </c>
      <c r="U15" s="88" t="s">
        <v>10</v>
      </c>
      <c r="V15" s="88"/>
    </row>
    <row r="16" spans="1:22" ht="27" customHeight="1" x14ac:dyDescent="0.3">
      <c r="B16" s="11" t="s">
        <v>31</v>
      </c>
      <c r="C16" s="29" t="s">
        <v>32</v>
      </c>
      <c r="D16" s="96" t="s">
        <v>40</v>
      </c>
      <c r="E16" s="97"/>
      <c r="F16" s="98"/>
      <c r="G16" s="58" t="s">
        <v>35</v>
      </c>
      <c r="H16" s="11" t="s">
        <v>34</v>
      </c>
      <c r="I16" s="59">
        <v>0.375</v>
      </c>
      <c r="J16" s="60">
        <v>0.58333333333333337</v>
      </c>
      <c r="K16" s="41">
        <f t="shared" ref="K16" si="0">IF(AND(I16&lt;&gt;"",J16&lt;&gt;""),ROUNDDOWN((MOD(J16-I16,1)*24)*2,0)/2,"")</f>
        <v>5</v>
      </c>
      <c r="L16" s="61">
        <v>0.375</v>
      </c>
      <c r="M16" s="60">
        <v>0.54166666666666663</v>
      </c>
      <c r="N16" s="62">
        <v>1</v>
      </c>
      <c r="O16" s="59" t="s">
        <v>33</v>
      </c>
      <c r="P16" s="63" t="s">
        <v>42</v>
      </c>
      <c r="Q16" s="63">
        <v>4</v>
      </c>
      <c r="R16" s="64" t="s">
        <v>43</v>
      </c>
      <c r="S16" s="42">
        <f>IF(AND(L16&lt;&gt;"",M16&lt;&gt;""),IF(P16="입력하세요","대체휴무지급  여부 입력",ROUNDDOWN(MAX(0,((M16-L16)*24)-IF(N16&lt;&gt;"",N16,0)-IF(Q16&lt;&gt;"",Q16,0))*2,0)/2),"")</f>
        <v>0</v>
      </c>
      <c r="T16" s="43">
        <f>IF(S16&lt;&gt;"",S16,"")</f>
        <v>0</v>
      </c>
      <c r="U16" s="74"/>
      <c r="V16" s="75"/>
    </row>
    <row r="17" spans="2:22" ht="27" customHeight="1" x14ac:dyDescent="0.3">
      <c r="B17" s="11">
        <v>1</v>
      </c>
      <c r="C17" s="29">
        <f t="shared" ref="C17:C44" ca="1" si="1">DATE(YEAR($D$6),$C$2,$B17)</f>
        <v>46023</v>
      </c>
      <c r="D17" s="96"/>
      <c r="E17" s="97"/>
      <c r="F17" s="98"/>
      <c r="G17" s="58"/>
      <c r="H17" s="11" t="str">
        <f t="shared" ref="H17:H47" si="2">IF(G17="","",IF(C17&lt;G17,"사후","사전"))</f>
        <v/>
      </c>
      <c r="I17" s="59"/>
      <c r="J17" s="60"/>
      <c r="K17" s="41" t="str">
        <f>IF(AND(I17&lt;&gt;"",J17&lt;&gt;""),ROUNDDOWN((MOD(J17-I17,1)*24)*2,0)/2,"")</f>
        <v/>
      </c>
      <c r="L17" s="61"/>
      <c r="M17" s="60"/>
      <c r="N17" s="65"/>
      <c r="O17" s="59"/>
      <c r="P17" s="63" t="s">
        <v>41</v>
      </c>
      <c r="Q17" s="63"/>
      <c r="R17" s="64"/>
      <c r="S17" s="42" t="str">
        <f t="shared" ref="S17:S47" si="3">IF(AND(L17&lt;&gt;"",M17&lt;&gt;""),IF(P17="입력하세요","대체휴무지급  여부 입력",ROUNDDOWN(MAX(0,((M17-L17)*24)-IF(N17&lt;&gt;"",N17,0)-IF(Q17&lt;&gt;"",Q17,0))*2,0)/2),"")</f>
        <v/>
      </c>
      <c r="T17" s="43" t="str">
        <f t="shared" ref="T17:T47" si="4">IF(S17&lt;&gt;"",S17,"")</f>
        <v/>
      </c>
      <c r="U17" s="74"/>
      <c r="V17" s="75"/>
    </row>
    <row r="18" spans="2:22" ht="27" customHeight="1" x14ac:dyDescent="0.3">
      <c r="B18" s="11">
        <v>2</v>
      </c>
      <c r="C18" s="29">
        <f t="shared" ca="1" si="1"/>
        <v>46024</v>
      </c>
      <c r="D18" s="74" t="s">
        <v>29</v>
      </c>
      <c r="E18" s="108"/>
      <c r="F18" s="75"/>
      <c r="G18" s="58">
        <v>46024</v>
      </c>
      <c r="H18" s="11" t="str">
        <f t="shared" ca="1" si="2"/>
        <v>사전</v>
      </c>
      <c r="I18" s="59">
        <v>0.79166666666666663</v>
      </c>
      <c r="J18" s="60">
        <v>0.91666666666666663</v>
      </c>
      <c r="K18" s="41">
        <f t="shared" ref="K18:K46" si="5">IF(AND(I18&lt;&gt;"",J18&lt;&gt;""),ROUNDDOWN((MOD(J18-I18,1)*24)*2,0)/2,"")</f>
        <v>3</v>
      </c>
      <c r="L18" s="59">
        <v>0.79166666666666663</v>
      </c>
      <c r="M18" s="60">
        <v>0.95833333333333337</v>
      </c>
      <c r="N18" s="65"/>
      <c r="O18" s="59"/>
      <c r="P18" s="63" t="s">
        <v>44</v>
      </c>
      <c r="Q18" s="63">
        <v>4</v>
      </c>
      <c r="R18" s="64" t="s">
        <v>46</v>
      </c>
      <c r="S18" s="42">
        <f>IF(AND(L18&lt;&gt;"",M18&lt;&gt;""),IF(P18="입력하세요","대체휴무지급  여부 입력",ROUNDDOWN(MAX(0,((M18-L18)*24)-IF(N18&lt;&gt;"",N18,0)-IF(Q18&lt;&gt;"",Q18,0))*2,0)/2),"")</f>
        <v>0</v>
      </c>
      <c r="T18" s="43">
        <f t="shared" si="4"/>
        <v>0</v>
      </c>
      <c r="U18" s="74"/>
      <c r="V18" s="75"/>
    </row>
    <row r="19" spans="2:22" ht="27" customHeight="1" x14ac:dyDescent="0.3">
      <c r="B19" s="11">
        <v>3</v>
      </c>
      <c r="C19" s="29">
        <f t="shared" ca="1" si="1"/>
        <v>46025</v>
      </c>
      <c r="D19" s="96"/>
      <c r="E19" s="97"/>
      <c r="F19" s="98"/>
      <c r="G19" s="58"/>
      <c r="H19" s="11" t="str">
        <f t="shared" si="2"/>
        <v/>
      </c>
      <c r="I19" s="59"/>
      <c r="J19" s="60"/>
      <c r="K19" s="41" t="str">
        <f t="shared" si="5"/>
        <v/>
      </c>
      <c r="L19" s="61"/>
      <c r="M19" s="60"/>
      <c r="N19" s="65"/>
      <c r="O19" s="59"/>
      <c r="P19" s="63" t="s">
        <v>36</v>
      </c>
      <c r="Q19" s="63"/>
      <c r="R19" s="64"/>
      <c r="S19" s="42" t="str">
        <f t="shared" si="3"/>
        <v/>
      </c>
      <c r="T19" s="43" t="str">
        <f t="shared" si="4"/>
        <v/>
      </c>
      <c r="U19" s="74"/>
      <c r="V19" s="75"/>
    </row>
    <row r="20" spans="2:22" ht="27" customHeight="1" x14ac:dyDescent="0.3">
      <c r="B20" s="11">
        <v>4</v>
      </c>
      <c r="C20" s="29">
        <f ca="1">DATE(YEAR($D$6),$C$2,$B20)</f>
        <v>46026</v>
      </c>
      <c r="D20" s="96"/>
      <c r="E20" s="97"/>
      <c r="F20" s="98"/>
      <c r="G20" s="58"/>
      <c r="H20" s="11" t="str">
        <f t="shared" si="2"/>
        <v/>
      </c>
      <c r="I20" s="59"/>
      <c r="J20" s="60"/>
      <c r="K20" s="41" t="str">
        <f t="shared" si="5"/>
        <v/>
      </c>
      <c r="L20" s="61"/>
      <c r="M20" s="59"/>
      <c r="N20" s="65"/>
      <c r="O20" s="59"/>
      <c r="P20" s="63" t="s">
        <v>36</v>
      </c>
      <c r="Q20" s="63"/>
      <c r="R20" s="64"/>
      <c r="S20" s="42" t="str">
        <f t="shared" si="3"/>
        <v/>
      </c>
      <c r="T20" s="43" t="str">
        <f t="shared" si="4"/>
        <v/>
      </c>
      <c r="U20" s="74"/>
      <c r="V20" s="75"/>
    </row>
    <row r="21" spans="2:22" ht="27" customHeight="1" x14ac:dyDescent="0.3">
      <c r="B21" s="11">
        <v>5</v>
      </c>
      <c r="C21" s="29">
        <f t="shared" ca="1" si="1"/>
        <v>46027</v>
      </c>
      <c r="D21" s="74" t="s">
        <v>28</v>
      </c>
      <c r="E21" s="108"/>
      <c r="F21" s="75"/>
      <c r="G21" s="58">
        <v>46030</v>
      </c>
      <c r="H21" s="11" t="str">
        <f t="shared" ca="1" si="2"/>
        <v>사후</v>
      </c>
      <c r="I21" s="59">
        <v>0.75</v>
      </c>
      <c r="J21" s="60">
        <v>0.83333333333333337</v>
      </c>
      <c r="K21" s="41">
        <f>IF(AND(I21&lt;&gt;"",J21&lt;&gt;""),ROUNDDOWN((MOD(J21-I21,1)*24)*2,0)/2,"")</f>
        <v>2</v>
      </c>
      <c r="L21" s="59">
        <v>0.75</v>
      </c>
      <c r="M21" s="60">
        <v>0.83333333333333337</v>
      </c>
      <c r="N21" s="65"/>
      <c r="O21" s="59"/>
      <c r="P21" s="63" t="s">
        <v>45</v>
      </c>
      <c r="Q21" s="63"/>
      <c r="R21" s="64"/>
      <c r="S21" s="42">
        <f t="shared" si="3"/>
        <v>2</v>
      </c>
      <c r="T21" s="43">
        <f t="shared" si="4"/>
        <v>2</v>
      </c>
      <c r="U21" s="74"/>
      <c r="V21" s="75"/>
    </row>
    <row r="22" spans="2:22" ht="27" customHeight="1" x14ac:dyDescent="0.3">
      <c r="B22" s="11">
        <v>6</v>
      </c>
      <c r="C22" s="29">
        <f t="shared" ca="1" si="1"/>
        <v>46028</v>
      </c>
      <c r="D22" s="96"/>
      <c r="E22" s="97"/>
      <c r="F22" s="98"/>
      <c r="G22" s="58"/>
      <c r="H22" s="11" t="str">
        <f t="shared" si="2"/>
        <v/>
      </c>
      <c r="I22" s="59"/>
      <c r="J22" s="60"/>
      <c r="K22" s="41" t="str">
        <f t="shared" si="5"/>
        <v/>
      </c>
      <c r="L22" s="61"/>
      <c r="M22" s="59"/>
      <c r="N22" s="65"/>
      <c r="O22" s="59"/>
      <c r="P22" s="63" t="s">
        <v>36</v>
      </c>
      <c r="Q22" s="63"/>
      <c r="R22" s="64"/>
      <c r="S22" s="42" t="str">
        <f t="shared" si="3"/>
        <v/>
      </c>
      <c r="T22" s="43" t="str">
        <f t="shared" si="4"/>
        <v/>
      </c>
      <c r="U22" s="74"/>
      <c r="V22" s="75"/>
    </row>
    <row r="23" spans="2:22" ht="27" customHeight="1" x14ac:dyDescent="0.3">
      <c r="B23" s="11">
        <v>7</v>
      </c>
      <c r="C23" s="29">
        <f t="shared" ca="1" si="1"/>
        <v>46029</v>
      </c>
      <c r="D23" s="74"/>
      <c r="E23" s="108"/>
      <c r="F23" s="75"/>
      <c r="G23" s="58"/>
      <c r="H23" s="11" t="str">
        <f t="shared" si="2"/>
        <v/>
      </c>
      <c r="I23" s="59"/>
      <c r="J23" s="60"/>
      <c r="K23" s="41" t="str">
        <f t="shared" si="5"/>
        <v/>
      </c>
      <c r="L23" s="61"/>
      <c r="M23" s="59"/>
      <c r="N23" s="65"/>
      <c r="O23" s="59"/>
      <c r="P23" s="63" t="s">
        <v>36</v>
      </c>
      <c r="Q23" s="63"/>
      <c r="R23" s="64"/>
      <c r="S23" s="42" t="str">
        <f t="shared" si="3"/>
        <v/>
      </c>
      <c r="T23" s="43" t="str">
        <f t="shared" si="4"/>
        <v/>
      </c>
      <c r="U23" s="74"/>
      <c r="V23" s="75"/>
    </row>
    <row r="24" spans="2:22" ht="27" customHeight="1" x14ac:dyDescent="0.3">
      <c r="B24" s="11">
        <v>8</v>
      </c>
      <c r="C24" s="29">
        <f t="shared" ca="1" si="1"/>
        <v>46030</v>
      </c>
      <c r="D24" s="96"/>
      <c r="E24" s="97"/>
      <c r="F24" s="98"/>
      <c r="G24" s="58"/>
      <c r="H24" s="11" t="str">
        <f t="shared" si="2"/>
        <v/>
      </c>
      <c r="I24" s="59"/>
      <c r="J24" s="60"/>
      <c r="K24" s="41" t="str">
        <f t="shared" si="5"/>
        <v/>
      </c>
      <c r="L24" s="61"/>
      <c r="M24" s="59"/>
      <c r="N24" s="65"/>
      <c r="O24" s="59"/>
      <c r="P24" s="63" t="s">
        <v>36</v>
      </c>
      <c r="Q24" s="63"/>
      <c r="R24" s="64"/>
      <c r="S24" s="42" t="str">
        <f t="shared" si="3"/>
        <v/>
      </c>
      <c r="T24" s="43" t="str">
        <f t="shared" si="4"/>
        <v/>
      </c>
      <c r="U24" s="74"/>
      <c r="V24" s="75"/>
    </row>
    <row r="25" spans="2:22" ht="27" customHeight="1" x14ac:dyDescent="0.3">
      <c r="B25" s="11">
        <v>9</v>
      </c>
      <c r="C25" s="29">
        <f t="shared" ca="1" si="1"/>
        <v>46031</v>
      </c>
      <c r="D25" s="96"/>
      <c r="E25" s="97"/>
      <c r="F25" s="98"/>
      <c r="G25" s="58"/>
      <c r="H25" s="11" t="str">
        <f t="shared" si="2"/>
        <v/>
      </c>
      <c r="I25" s="59"/>
      <c r="J25" s="60"/>
      <c r="K25" s="41" t="str">
        <f t="shared" si="5"/>
        <v/>
      </c>
      <c r="L25" s="61"/>
      <c r="M25" s="59"/>
      <c r="N25" s="65"/>
      <c r="O25" s="59"/>
      <c r="P25" s="63" t="s">
        <v>36</v>
      </c>
      <c r="Q25" s="63"/>
      <c r="R25" s="64"/>
      <c r="S25" s="42" t="str">
        <f t="shared" si="3"/>
        <v/>
      </c>
      <c r="T25" s="43" t="str">
        <f t="shared" si="4"/>
        <v/>
      </c>
      <c r="U25" s="74"/>
      <c r="V25" s="75"/>
    </row>
    <row r="26" spans="2:22" ht="27" customHeight="1" x14ac:dyDescent="0.3">
      <c r="B26" s="11">
        <v>10</v>
      </c>
      <c r="C26" s="29">
        <f t="shared" ca="1" si="1"/>
        <v>46032</v>
      </c>
      <c r="D26" s="96"/>
      <c r="E26" s="97"/>
      <c r="F26" s="98"/>
      <c r="G26" s="58"/>
      <c r="H26" s="11" t="str">
        <f t="shared" si="2"/>
        <v/>
      </c>
      <c r="I26" s="59"/>
      <c r="J26" s="60"/>
      <c r="K26" s="41" t="str">
        <f t="shared" si="5"/>
        <v/>
      </c>
      <c r="L26" s="61"/>
      <c r="M26" s="60"/>
      <c r="N26" s="65"/>
      <c r="O26" s="59"/>
      <c r="P26" s="63" t="s">
        <v>36</v>
      </c>
      <c r="Q26" s="63"/>
      <c r="R26" s="64"/>
      <c r="S26" s="42" t="str">
        <f t="shared" si="3"/>
        <v/>
      </c>
      <c r="T26" s="43" t="str">
        <f t="shared" si="4"/>
        <v/>
      </c>
      <c r="U26" s="74"/>
      <c r="V26" s="75"/>
    </row>
    <row r="27" spans="2:22" ht="27" customHeight="1" x14ac:dyDescent="0.3">
      <c r="B27" s="11">
        <v>11</v>
      </c>
      <c r="C27" s="29">
        <f t="shared" ca="1" si="1"/>
        <v>46033</v>
      </c>
      <c r="D27" s="96"/>
      <c r="E27" s="97"/>
      <c r="F27" s="98"/>
      <c r="G27" s="58"/>
      <c r="H27" s="11" t="str">
        <f t="shared" si="2"/>
        <v/>
      </c>
      <c r="I27" s="59"/>
      <c r="J27" s="60"/>
      <c r="K27" s="41" t="str">
        <f t="shared" si="5"/>
        <v/>
      </c>
      <c r="L27" s="61"/>
      <c r="M27" s="59"/>
      <c r="N27" s="65"/>
      <c r="O27" s="59"/>
      <c r="P27" s="63" t="s">
        <v>36</v>
      </c>
      <c r="Q27" s="63"/>
      <c r="R27" s="64"/>
      <c r="S27" s="42" t="str">
        <f t="shared" si="3"/>
        <v/>
      </c>
      <c r="T27" s="43" t="str">
        <f t="shared" si="4"/>
        <v/>
      </c>
      <c r="U27" s="74"/>
      <c r="V27" s="75"/>
    </row>
    <row r="28" spans="2:22" ht="27" customHeight="1" x14ac:dyDescent="0.3">
      <c r="B28" s="11">
        <v>12</v>
      </c>
      <c r="C28" s="29">
        <f t="shared" ca="1" si="1"/>
        <v>46034</v>
      </c>
      <c r="D28" s="96"/>
      <c r="E28" s="97"/>
      <c r="F28" s="98"/>
      <c r="G28" s="58"/>
      <c r="H28" s="11" t="str">
        <f t="shared" si="2"/>
        <v/>
      </c>
      <c r="I28" s="59"/>
      <c r="J28" s="60"/>
      <c r="K28" s="41" t="str">
        <f t="shared" si="5"/>
        <v/>
      </c>
      <c r="L28" s="61"/>
      <c r="M28" s="59"/>
      <c r="N28" s="65"/>
      <c r="O28" s="59"/>
      <c r="P28" s="63" t="s">
        <v>36</v>
      </c>
      <c r="Q28" s="63"/>
      <c r="R28" s="64"/>
      <c r="S28" s="42" t="str">
        <f t="shared" si="3"/>
        <v/>
      </c>
      <c r="T28" s="43" t="str">
        <f t="shared" si="4"/>
        <v/>
      </c>
      <c r="U28" s="74"/>
      <c r="V28" s="75"/>
    </row>
    <row r="29" spans="2:22" ht="27" customHeight="1" x14ac:dyDescent="0.3">
      <c r="B29" s="11">
        <v>13</v>
      </c>
      <c r="C29" s="29">
        <f t="shared" ca="1" si="1"/>
        <v>46035</v>
      </c>
      <c r="D29" s="96"/>
      <c r="E29" s="97"/>
      <c r="F29" s="98"/>
      <c r="G29" s="58"/>
      <c r="H29" s="11" t="str">
        <f t="shared" si="2"/>
        <v/>
      </c>
      <c r="I29" s="59"/>
      <c r="J29" s="60"/>
      <c r="K29" s="41" t="str">
        <f t="shared" si="5"/>
        <v/>
      </c>
      <c r="L29" s="61"/>
      <c r="M29" s="59"/>
      <c r="N29" s="65"/>
      <c r="O29" s="59"/>
      <c r="P29" s="63" t="s">
        <v>36</v>
      </c>
      <c r="Q29" s="63"/>
      <c r="R29" s="64"/>
      <c r="S29" s="42" t="str">
        <f t="shared" si="3"/>
        <v/>
      </c>
      <c r="T29" s="43" t="str">
        <f t="shared" si="4"/>
        <v/>
      </c>
      <c r="U29" s="74"/>
      <c r="V29" s="75"/>
    </row>
    <row r="30" spans="2:22" ht="27" customHeight="1" x14ac:dyDescent="0.3">
      <c r="B30" s="11">
        <v>14</v>
      </c>
      <c r="C30" s="29">
        <f t="shared" ca="1" si="1"/>
        <v>46036</v>
      </c>
      <c r="D30" s="96"/>
      <c r="E30" s="97"/>
      <c r="F30" s="98"/>
      <c r="G30" s="58"/>
      <c r="H30" s="11" t="str">
        <f t="shared" si="2"/>
        <v/>
      </c>
      <c r="I30" s="59"/>
      <c r="J30" s="60"/>
      <c r="K30" s="41" t="str">
        <f t="shared" si="5"/>
        <v/>
      </c>
      <c r="L30" s="61"/>
      <c r="M30" s="59"/>
      <c r="N30" s="65"/>
      <c r="O30" s="59"/>
      <c r="P30" s="63" t="s">
        <v>36</v>
      </c>
      <c r="Q30" s="63"/>
      <c r="R30" s="64"/>
      <c r="S30" s="42" t="str">
        <f t="shared" si="3"/>
        <v/>
      </c>
      <c r="T30" s="43" t="str">
        <f t="shared" si="4"/>
        <v/>
      </c>
      <c r="U30" s="74"/>
      <c r="V30" s="75"/>
    </row>
    <row r="31" spans="2:22" ht="27" customHeight="1" x14ac:dyDescent="0.3">
      <c r="B31" s="11">
        <v>15</v>
      </c>
      <c r="C31" s="29">
        <f t="shared" ca="1" si="1"/>
        <v>46037</v>
      </c>
      <c r="D31" s="96"/>
      <c r="E31" s="97"/>
      <c r="F31" s="98"/>
      <c r="G31" s="58"/>
      <c r="H31" s="11" t="str">
        <f t="shared" si="2"/>
        <v/>
      </c>
      <c r="I31" s="59"/>
      <c r="J31" s="60"/>
      <c r="K31" s="41" t="str">
        <f t="shared" si="5"/>
        <v/>
      </c>
      <c r="L31" s="61"/>
      <c r="M31" s="59"/>
      <c r="N31" s="65"/>
      <c r="O31" s="59"/>
      <c r="P31" s="63" t="s">
        <v>36</v>
      </c>
      <c r="Q31" s="63"/>
      <c r="R31" s="64"/>
      <c r="S31" s="42" t="str">
        <f t="shared" si="3"/>
        <v/>
      </c>
      <c r="T31" s="43" t="str">
        <f t="shared" si="4"/>
        <v/>
      </c>
      <c r="U31" s="74"/>
      <c r="V31" s="75"/>
    </row>
    <row r="32" spans="2:22" ht="27" customHeight="1" x14ac:dyDescent="0.3">
      <c r="B32" s="11">
        <v>16</v>
      </c>
      <c r="C32" s="29">
        <f t="shared" ca="1" si="1"/>
        <v>46038</v>
      </c>
      <c r="D32" s="96"/>
      <c r="E32" s="97"/>
      <c r="F32" s="98"/>
      <c r="G32" s="58"/>
      <c r="H32" s="11" t="str">
        <f t="shared" si="2"/>
        <v/>
      </c>
      <c r="I32" s="59"/>
      <c r="J32" s="60"/>
      <c r="K32" s="41" t="str">
        <f t="shared" si="5"/>
        <v/>
      </c>
      <c r="L32" s="61"/>
      <c r="M32" s="59"/>
      <c r="N32" s="65"/>
      <c r="O32" s="59"/>
      <c r="P32" s="63" t="s">
        <v>36</v>
      </c>
      <c r="Q32" s="63"/>
      <c r="R32" s="64"/>
      <c r="S32" s="42" t="str">
        <f t="shared" si="3"/>
        <v/>
      </c>
      <c r="T32" s="43" t="str">
        <f t="shared" si="4"/>
        <v/>
      </c>
      <c r="U32" s="74"/>
      <c r="V32" s="75"/>
    </row>
    <row r="33" spans="2:22" ht="27" customHeight="1" x14ac:dyDescent="0.3">
      <c r="B33" s="11">
        <v>17</v>
      </c>
      <c r="C33" s="29">
        <f t="shared" ca="1" si="1"/>
        <v>46039</v>
      </c>
      <c r="D33" s="96"/>
      <c r="E33" s="97"/>
      <c r="F33" s="98"/>
      <c r="G33" s="58"/>
      <c r="H33" s="11" t="str">
        <f t="shared" si="2"/>
        <v/>
      </c>
      <c r="I33" s="59"/>
      <c r="J33" s="60"/>
      <c r="K33" s="41" t="str">
        <f t="shared" si="5"/>
        <v/>
      </c>
      <c r="L33" s="61"/>
      <c r="M33" s="59"/>
      <c r="N33" s="65"/>
      <c r="O33" s="59"/>
      <c r="P33" s="63" t="s">
        <v>36</v>
      </c>
      <c r="Q33" s="63"/>
      <c r="R33" s="64"/>
      <c r="S33" s="42" t="str">
        <f t="shared" si="3"/>
        <v/>
      </c>
      <c r="T33" s="43" t="str">
        <f t="shared" si="4"/>
        <v/>
      </c>
      <c r="U33" s="74"/>
      <c r="V33" s="75"/>
    </row>
    <row r="34" spans="2:22" ht="27" customHeight="1" x14ac:dyDescent="0.3">
      <c r="B34" s="11">
        <v>18</v>
      </c>
      <c r="C34" s="29">
        <f t="shared" ca="1" si="1"/>
        <v>46040</v>
      </c>
      <c r="D34" s="96"/>
      <c r="E34" s="97"/>
      <c r="F34" s="98"/>
      <c r="G34" s="58"/>
      <c r="H34" s="11" t="str">
        <f t="shared" si="2"/>
        <v/>
      </c>
      <c r="I34" s="59"/>
      <c r="J34" s="60"/>
      <c r="K34" s="41" t="str">
        <f t="shared" si="5"/>
        <v/>
      </c>
      <c r="L34" s="61"/>
      <c r="M34" s="59"/>
      <c r="N34" s="65"/>
      <c r="O34" s="59"/>
      <c r="P34" s="63" t="s">
        <v>36</v>
      </c>
      <c r="Q34" s="63"/>
      <c r="R34" s="64"/>
      <c r="S34" s="42" t="str">
        <f t="shared" si="3"/>
        <v/>
      </c>
      <c r="T34" s="43" t="str">
        <f t="shared" si="4"/>
        <v/>
      </c>
      <c r="U34" s="74"/>
      <c r="V34" s="75"/>
    </row>
    <row r="35" spans="2:22" ht="27" customHeight="1" x14ac:dyDescent="0.3">
      <c r="B35" s="11">
        <v>19</v>
      </c>
      <c r="C35" s="29">
        <f t="shared" ca="1" si="1"/>
        <v>46041</v>
      </c>
      <c r="D35" s="96"/>
      <c r="E35" s="97"/>
      <c r="F35" s="98"/>
      <c r="G35" s="58"/>
      <c r="H35" s="11" t="str">
        <f t="shared" si="2"/>
        <v/>
      </c>
      <c r="I35" s="59"/>
      <c r="J35" s="60"/>
      <c r="K35" s="41" t="str">
        <f t="shared" si="5"/>
        <v/>
      </c>
      <c r="L35" s="61"/>
      <c r="M35" s="59"/>
      <c r="N35" s="65"/>
      <c r="O35" s="59"/>
      <c r="P35" s="63" t="s">
        <v>36</v>
      </c>
      <c r="Q35" s="63"/>
      <c r="R35" s="64"/>
      <c r="S35" s="42" t="str">
        <f t="shared" si="3"/>
        <v/>
      </c>
      <c r="T35" s="43" t="str">
        <f t="shared" si="4"/>
        <v/>
      </c>
      <c r="U35" s="74"/>
      <c r="V35" s="75"/>
    </row>
    <row r="36" spans="2:22" ht="27" customHeight="1" x14ac:dyDescent="0.3">
      <c r="B36" s="11">
        <v>20</v>
      </c>
      <c r="C36" s="29">
        <f t="shared" ca="1" si="1"/>
        <v>46042</v>
      </c>
      <c r="D36" s="96"/>
      <c r="E36" s="97"/>
      <c r="F36" s="98"/>
      <c r="G36" s="58"/>
      <c r="H36" s="11" t="str">
        <f t="shared" si="2"/>
        <v/>
      </c>
      <c r="I36" s="59"/>
      <c r="J36" s="60"/>
      <c r="K36" s="41" t="str">
        <f t="shared" si="5"/>
        <v/>
      </c>
      <c r="L36" s="61"/>
      <c r="M36" s="59"/>
      <c r="N36" s="65"/>
      <c r="O36" s="59"/>
      <c r="P36" s="63" t="s">
        <v>36</v>
      </c>
      <c r="Q36" s="63"/>
      <c r="R36" s="64"/>
      <c r="S36" s="42" t="str">
        <f t="shared" si="3"/>
        <v/>
      </c>
      <c r="T36" s="43" t="str">
        <f t="shared" si="4"/>
        <v/>
      </c>
      <c r="U36" s="74"/>
      <c r="V36" s="75"/>
    </row>
    <row r="37" spans="2:22" ht="27" customHeight="1" x14ac:dyDescent="0.3">
      <c r="B37" s="11">
        <v>21</v>
      </c>
      <c r="C37" s="29">
        <f t="shared" ca="1" si="1"/>
        <v>46043</v>
      </c>
      <c r="D37" s="96"/>
      <c r="E37" s="97"/>
      <c r="F37" s="98"/>
      <c r="G37" s="58"/>
      <c r="H37" s="11" t="str">
        <f t="shared" si="2"/>
        <v/>
      </c>
      <c r="I37" s="59"/>
      <c r="J37" s="60"/>
      <c r="K37" s="41" t="str">
        <f t="shared" si="5"/>
        <v/>
      </c>
      <c r="L37" s="61"/>
      <c r="M37" s="59"/>
      <c r="N37" s="65"/>
      <c r="O37" s="59"/>
      <c r="P37" s="63" t="s">
        <v>36</v>
      </c>
      <c r="Q37" s="63"/>
      <c r="R37" s="64"/>
      <c r="S37" s="42" t="str">
        <f t="shared" si="3"/>
        <v/>
      </c>
      <c r="T37" s="43" t="str">
        <f t="shared" si="4"/>
        <v/>
      </c>
      <c r="U37" s="74"/>
      <c r="V37" s="75"/>
    </row>
    <row r="38" spans="2:22" ht="27" customHeight="1" x14ac:dyDescent="0.3">
      <c r="B38" s="11">
        <v>22</v>
      </c>
      <c r="C38" s="29">
        <f t="shared" ca="1" si="1"/>
        <v>46044</v>
      </c>
      <c r="D38" s="96"/>
      <c r="E38" s="97"/>
      <c r="F38" s="98"/>
      <c r="G38" s="58"/>
      <c r="H38" s="11" t="str">
        <f t="shared" si="2"/>
        <v/>
      </c>
      <c r="I38" s="59"/>
      <c r="J38" s="60"/>
      <c r="K38" s="41" t="str">
        <f t="shared" si="5"/>
        <v/>
      </c>
      <c r="L38" s="61"/>
      <c r="M38" s="59"/>
      <c r="N38" s="65"/>
      <c r="O38" s="59"/>
      <c r="P38" s="63" t="s">
        <v>36</v>
      </c>
      <c r="Q38" s="63"/>
      <c r="R38" s="64"/>
      <c r="S38" s="42" t="str">
        <f t="shared" si="3"/>
        <v/>
      </c>
      <c r="T38" s="43" t="str">
        <f t="shared" si="4"/>
        <v/>
      </c>
      <c r="U38" s="74"/>
      <c r="V38" s="75"/>
    </row>
    <row r="39" spans="2:22" ht="27" customHeight="1" x14ac:dyDescent="0.3">
      <c r="B39" s="11">
        <v>23</v>
      </c>
      <c r="C39" s="29">
        <f t="shared" ca="1" si="1"/>
        <v>46045</v>
      </c>
      <c r="D39" s="96"/>
      <c r="E39" s="97"/>
      <c r="F39" s="98"/>
      <c r="G39" s="58"/>
      <c r="H39" s="11" t="str">
        <f t="shared" si="2"/>
        <v/>
      </c>
      <c r="I39" s="59"/>
      <c r="J39" s="60"/>
      <c r="K39" s="41" t="str">
        <f t="shared" si="5"/>
        <v/>
      </c>
      <c r="L39" s="61"/>
      <c r="M39" s="59"/>
      <c r="N39" s="65"/>
      <c r="O39" s="59"/>
      <c r="P39" s="63" t="s">
        <v>36</v>
      </c>
      <c r="Q39" s="63"/>
      <c r="R39" s="64"/>
      <c r="S39" s="42" t="str">
        <f t="shared" si="3"/>
        <v/>
      </c>
      <c r="T39" s="43" t="str">
        <f t="shared" si="4"/>
        <v/>
      </c>
      <c r="U39" s="74"/>
      <c r="V39" s="75"/>
    </row>
    <row r="40" spans="2:22" ht="27" customHeight="1" x14ac:dyDescent="0.3">
      <c r="B40" s="11">
        <v>24</v>
      </c>
      <c r="C40" s="29">
        <f t="shared" ca="1" si="1"/>
        <v>46046</v>
      </c>
      <c r="D40" s="96"/>
      <c r="E40" s="97"/>
      <c r="F40" s="98"/>
      <c r="G40" s="58"/>
      <c r="H40" s="11" t="str">
        <f t="shared" si="2"/>
        <v/>
      </c>
      <c r="I40" s="59"/>
      <c r="J40" s="60"/>
      <c r="K40" s="41" t="str">
        <f t="shared" si="5"/>
        <v/>
      </c>
      <c r="L40" s="61"/>
      <c r="M40" s="59"/>
      <c r="N40" s="65"/>
      <c r="O40" s="59"/>
      <c r="P40" s="63" t="s">
        <v>36</v>
      </c>
      <c r="Q40" s="63"/>
      <c r="R40" s="64"/>
      <c r="S40" s="42" t="str">
        <f t="shared" si="3"/>
        <v/>
      </c>
      <c r="T40" s="43" t="str">
        <f t="shared" si="4"/>
        <v/>
      </c>
      <c r="U40" s="74"/>
      <c r="V40" s="75"/>
    </row>
    <row r="41" spans="2:22" ht="27" customHeight="1" x14ac:dyDescent="0.3">
      <c r="B41" s="11">
        <v>25</v>
      </c>
      <c r="C41" s="29">
        <f t="shared" ca="1" si="1"/>
        <v>46047</v>
      </c>
      <c r="D41" s="96"/>
      <c r="E41" s="97"/>
      <c r="F41" s="98"/>
      <c r="G41" s="58"/>
      <c r="H41" s="11" t="str">
        <f t="shared" si="2"/>
        <v/>
      </c>
      <c r="I41" s="59"/>
      <c r="J41" s="60"/>
      <c r="K41" s="41" t="str">
        <f t="shared" si="5"/>
        <v/>
      </c>
      <c r="L41" s="61"/>
      <c r="M41" s="59"/>
      <c r="N41" s="65"/>
      <c r="O41" s="59"/>
      <c r="P41" s="63" t="s">
        <v>36</v>
      </c>
      <c r="Q41" s="63"/>
      <c r="R41" s="64"/>
      <c r="S41" s="42" t="str">
        <f t="shared" si="3"/>
        <v/>
      </c>
      <c r="T41" s="43" t="str">
        <f t="shared" si="4"/>
        <v/>
      </c>
      <c r="U41" s="74"/>
      <c r="V41" s="75"/>
    </row>
    <row r="42" spans="2:22" ht="27" customHeight="1" x14ac:dyDescent="0.3">
      <c r="B42" s="11">
        <v>26</v>
      </c>
      <c r="C42" s="29">
        <f t="shared" ca="1" si="1"/>
        <v>46048</v>
      </c>
      <c r="D42" s="96"/>
      <c r="E42" s="97"/>
      <c r="F42" s="98"/>
      <c r="G42" s="58"/>
      <c r="H42" s="11" t="str">
        <f t="shared" si="2"/>
        <v/>
      </c>
      <c r="I42" s="59"/>
      <c r="J42" s="60"/>
      <c r="K42" s="41" t="str">
        <f t="shared" si="5"/>
        <v/>
      </c>
      <c r="L42" s="61"/>
      <c r="M42" s="59"/>
      <c r="N42" s="65"/>
      <c r="O42" s="59"/>
      <c r="P42" s="63" t="s">
        <v>36</v>
      </c>
      <c r="Q42" s="63"/>
      <c r="R42" s="64"/>
      <c r="S42" s="42" t="str">
        <f t="shared" si="3"/>
        <v/>
      </c>
      <c r="T42" s="43" t="str">
        <f t="shared" si="4"/>
        <v/>
      </c>
      <c r="U42" s="74"/>
      <c r="V42" s="75"/>
    </row>
    <row r="43" spans="2:22" ht="27" customHeight="1" x14ac:dyDescent="0.3">
      <c r="B43" s="11">
        <v>27</v>
      </c>
      <c r="C43" s="29">
        <f t="shared" ca="1" si="1"/>
        <v>46049</v>
      </c>
      <c r="D43" s="96"/>
      <c r="E43" s="97"/>
      <c r="F43" s="98"/>
      <c r="G43" s="58"/>
      <c r="H43" s="11" t="str">
        <f t="shared" si="2"/>
        <v/>
      </c>
      <c r="I43" s="59"/>
      <c r="J43" s="60"/>
      <c r="K43" s="41" t="str">
        <f t="shared" si="5"/>
        <v/>
      </c>
      <c r="L43" s="61"/>
      <c r="M43" s="59"/>
      <c r="N43" s="65"/>
      <c r="O43" s="59"/>
      <c r="P43" s="63" t="s">
        <v>36</v>
      </c>
      <c r="Q43" s="63"/>
      <c r="R43" s="64"/>
      <c r="S43" s="42" t="str">
        <f t="shared" si="3"/>
        <v/>
      </c>
      <c r="T43" s="43" t="str">
        <f t="shared" si="4"/>
        <v/>
      </c>
      <c r="U43" s="74"/>
      <c r="V43" s="75"/>
    </row>
    <row r="44" spans="2:22" ht="27" customHeight="1" x14ac:dyDescent="0.3">
      <c r="B44" s="11">
        <v>28</v>
      </c>
      <c r="C44" s="29">
        <f t="shared" ca="1" si="1"/>
        <v>46050</v>
      </c>
      <c r="D44" s="96"/>
      <c r="E44" s="97"/>
      <c r="F44" s="98"/>
      <c r="G44" s="58"/>
      <c r="H44" s="11" t="str">
        <f t="shared" si="2"/>
        <v/>
      </c>
      <c r="I44" s="59"/>
      <c r="J44" s="60"/>
      <c r="K44" s="41" t="str">
        <f t="shared" si="5"/>
        <v/>
      </c>
      <c r="L44" s="61"/>
      <c r="M44" s="59"/>
      <c r="N44" s="65"/>
      <c r="O44" s="59"/>
      <c r="P44" s="63" t="s">
        <v>36</v>
      </c>
      <c r="Q44" s="63"/>
      <c r="R44" s="64"/>
      <c r="S44" s="42" t="str">
        <f t="shared" si="3"/>
        <v/>
      </c>
      <c r="T44" s="43" t="str">
        <f t="shared" si="4"/>
        <v/>
      </c>
      <c r="U44" s="74"/>
      <c r="V44" s="75"/>
    </row>
    <row r="45" spans="2:22" ht="27" customHeight="1" x14ac:dyDescent="0.3">
      <c r="B45" s="11">
        <v>29</v>
      </c>
      <c r="C45" s="29">
        <f ca="1">IF(MONTH(DATE(YEAR($D$6),$C$2,B45))&lt;&gt;MONTH($C$44),"공란",DATE(YEAR($D$6),$C$2,B45))</f>
        <v>46051</v>
      </c>
      <c r="D45" s="96"/>
      <c r="E45" s="97"/>
      <c r="F45" s="98"/>
      <c r="G45" s="58"/>
      <c r="H45" s="11" t="str">
        <f t="shared" si="2"/>
        <v/>
      </c>
      <c r="I45" s="59"/>
      <c r="J45" s="60"/>
      <c r="K45" s="41" t="str">
        <f t="shared" si="5"/>
        <v/>
      </c>
      <c r="L45" s="61"/>
      <c r="M45" s="59"/>
      <c r="N45" s="65"/>
      <c r="O45" s="59"/>
      <c r="P45" s="63" t="s">
        <v>36</v>
      </c>
      <c r="Q45" s="63"/>
      <c r="R45" s="64"/>
      <c r="S45" s="42" t="str">
        <f t="shared" si="3"/>
        <v/>
      </c>
      <c r="T45" s="43" t="str">
        <f t="shared" si="4"/>
        <v/>
      </c>
      <c r="U45" s="74"/>
      <c r="V45" s="75"/>
    </row>
    <row r="46" spans="2:22" ht="27" customHeight="1" x14ac:dyDescent="0.3">
      <c r="B46" s="11">
        <v>30</v>
      </c>
      <c r="C46" s="29">
        <f ca="1">IF(MONTH(DATE(YEAR($D$6),$C$2,B46))&lt;&gt;MONTH($C$44),"공란",DATE(YEAR($D$6),$C$2,B46))</f>
        <v>46052</v>
      </c>
      <c r="D46" s="96"/>
      <c r="E46" s="97"/>
      <c r="F46" s="98"/>
      <c r="G46" s="58"/>
      <c r="H46" s="11" t="str">
        <f t="shared" si="2"/>
        <v/>
      </c>
      <c r="I46" s="59"/>
      <c r="J46" s="60"/>
      <c r="K46" s="41" t="str">
        <f t="shared" si="5"/>
        <v/>
      </c>
      <c r="L46" s="61"/>
      <c r="M46" s="59"/>
      <c r="N46" s="65"/>
      <c r="O46" s="59"/>
      <c r="P46" s="63" t="s">
        <v>36</v>
      </c>
      <c r="Q46" s="63"/>
      <c r="R46" s="64"/>
      <c r="S46" s="42" t="str">
        <f t="shared" si="3"/>
        <v/>
      </c>
      <c r="T46" s="43" t="str">
        <f t="shared" si="4"/>
        <v/>
      </c>
      <c r="U46" s="74"/>
      <c r="V46" s="75"/>
    </row>
    <row r="47" spans="2:22" ht="27" customHeight="1" x14ac:dyDescent="0.3">
      <c r="B47" s="11">
        <v>31</v>
      </c>
      <c r="C47" s="29">
        <f ca="1">IF(MONTH(DATE(YEAR($D$6),$C$2,B47))&lt;&gt;MONTH($C$44),"공란",DATE(YEAR($D$6),$C$2,B47))</f>
        <v>46053</v>
      </c>
      <c r="D47" s="96"/>
      <c r="E47" s="97"/>
      <c r="F47" s="98"/>
      <c r="G47" s="58"/>
      <c r="H47" s="11" t="str">
        <f t="shared" si="2"/>
        <v/>
      </c>
      <c r="I47" s="59"/>
      <c r="J47" s="60"/>
      <c r="K47" s="41" t="str">
        <f>IF(AND(I47&lt;&gt;"",J47&lt;&gt;""),ROUNDDOWN((MOD(J47-I47,1)*24)*2,0)/2,"")</f>
        <v/>
      </c>
      <c r="L47" s="61"/>
      <c r="M47" s="59"/>
      <c r="N47" s="65"/>
      <c r="O47" s="59"/>
      <c r="P47" s="63" t="s">
        <v>36</v>
      </c>
      <c r="Q47" s="63"/>
      <c r="R47" s="64"/>
      <c r="S47" s="42" t="str">
        <f t="shared" si="3"/>
        <v/>
      </c>
      <c r="T47" s="43" t="str">
        <f t="shared" si="4"/>
        <v/>
      </c>
      <c r="U47" s="74"/>
      <c r="V47" s="75"/>
    </row>
    <row r="48" spans="2:22" ht="24.95" customHeight="1" x14ac:dyDescent="0.3">
      <c r="B48" s="76" t="s">
        <v>6</v>
      </c>
      <c r="C48" s="76"/>
      <c r="D48" s="76"/>
      <c r="E48" s="76"/>
      <c r="F48" s="76"/>
      <c r="G48" s="76"/>
      <c r="H48" s="76"/>
      <c r="I48" s="76"/>
      <c r="J48" s="76"/>
      <c r="K48" s="76"/>
      <c r="L48" s="76"/>
      <c r="M48" s="76"/>
      <c r="N48" s="76"/>
      <c r="O48" s="76"/>
      <c r="P48" s="76"/>
      <c r="Q48" s="76"/>
      <c r="R48" s="76"/>
      <c r="S48" s="76"/>
      <c r="T48" s="76"/>
      <c r="U48" s="76"/>
      <c r="V48" s="76"/>
    </row>
    <row r="49" spans="20:21" x14ac:dyDescent="0.25">
      <c r="T49" s="5"/>
      <c r="U49" s="5"/>
    </row>
    <row r="50" spans="20:21" x14ac:dyDescent="0.25">
      <c r="T50" s="5"/>
      <c r="U50" s="5"/>
    </row>
  </sheetData>
  <sheetProtection algorithmName="SHA-512" hashValue="xYCauywCRRgHFKCegi4agHbsZE+fKUr/phiQs1WYGtNMgljUNn2/vS46WKSLbRWEJak/Css5hiTTHY1quxFTIQ==" saltValue="CKUTYvDIqtolt4PcmVMYog==" spinCount="100000" sheet="1" objects="1" scenarios="1"/>
  <mergeCells count="78">
    <mergeCell ref="D46:F46"/>
    <mergeCell ref="U46:V46"/>
    <mergeCell ref="D47:F47"/>
    <mergeCell ref="U47:V47"/>
    <mergeCell ref="B48:V48"/>
    <mergeCell ref="D43:F43"/>
    <mergeCell ref="U43:V43"/>
    <mergeCell ref="D44:F44"/>
    <mergeCell ref="U44:V44"/>
    <mergeCell ref="D45:F45"/>
    <mergeCell ref="U45:V45"/>
    <mergeCell ref="D40:F40"/>
    <mergeCell ref="U40:V40"/>
    <mergeCell ref="D41:F41"/>
    <mergeCell ref="U41:V41"/>
    <mergeCell ref="D42:F42"/>
    <mergeCell ref="U42:V42"/>
    <mergeCell ref="D37:F37"/>
    <mergeCell ref="U37:V37"/>
    <mergeCell ref="D38:F38"/>
    <mergeCell ref="U38:V38"/>
    <mergeCell ref="D39:F39"/>
    <mergeCell ref="U39:V39"/>
    <mergeCell ref="D34:F34"/>
    <mergeCell ref="U34:V34"/>
    <mergeCell ref="D35:F35"/>
    <mergeCell ref="U35:V35"/>
    <mergeCell ref="D36:F36"/>
    <mergeCell ref="U36:V36"/>
    <mergeCell ref="D31:F31"/>
    <mergeCell ref="U31:V31"/>
    <mergeCell ref="D32:F32"/>
    <mergeCell ref="U32:V32"/>
    <mergeCell ref="D33:F33"/>
    <mergeCell ref="U33:V33"/>
    <mergeCell ref="D28:F28"/>
    <mergeCell ref="U28:V28"/>
    <mergeCell ref="D29:F29"/>
    <mergeCell ref="U29:V29"/>
    <mergeCell ref="D30:F30"/>
    <mergeCell ref="U30:V30"/>
    <mergeCell ref="D25:F25"/>
    <mergeCell ref="U25:V25"/>
    <mergeCell ref="D26:F26"/>
    <mergeCell ref="U26:V26"/>
    <mergeCell ref="D27:F27"/>
    <mergeCell ref="U27:V27"/>
    <mergeCell ref="D22:F22"/>
    <mergeCell ref="U22:V22"/>
    <mergeCell ref="D23:F23"/>
    <mergeCell ref="U23:V23"/>
    <mergeCell ref="D24:F24"/>
    <mergeCell ref="U24:V24"/>
    <mergeCell ref="D19:F19"/>
    <mergeCell ref="U19:V19"/>
    <mergeCell ref="D20:F20"/>
    <mergeCell ref="U20:V20"/>
    <mergeCell ref="D21:F21"/>
    <mergeCell ref="U21:V21"/>
    <mergeCell ref="D16:F16"/>
    <mergeCell ref="U16:V16"/>
    <mergeCell ref="D17:F17"/>
    <mergeCell ref="U17:V17"/>
    <mergeCell ref="D18:F18"/>
    <mergeCell ref="U18:V18"/>
    <mergeCell ref="D15:F15"/>
    <mergeCell ref="U15:V15"/>
    <mergeCell ref="C2:K3"/>
    <mergeCell ref="S3:U3"/>
    <mergeCell ref="S5:S7"/>
    <mergeCell ref="T5:T7"/>
    <mergeCell ref="U5:U7"/>
    <mergeCell ref="S10:T10"/>
    <mergeCell ref="B13:R13"/>
    <mergeCell ref="S13:V13"/>
    <mergeCell ref="B14:K14"/>
    <mergeCell ref="L14:R14"/>
    <mergeCell ref="S14:V14"/>
  </mergeCells>
  <phoneticPr fontId="1" type="noConversion"/>
  <conditionalFormatting sqref="G16:H47">
    <cfRule type="expression" dxfId="3" priority="1">
      <formula>$H16="확정신청"</formula>
    </cfRule>
  </conditionalFormatting>
  <conditionalFormatting sqref="N16">
    <cfRule type="cellIs" dxfId="2" priority="7" operator="equal">
      <formula>"O"</formula>
    </cfRule>
  </conditionalFormatting>
  <conditionalFormatting sqref="P16:P47">
    <cfRule type="cellIs" dxfId="1" priority="6" operator="equal">
      <formula>"입력하세요"</formula>
    </cfRule>
    <cfRule type="cellIs" dxfId="0" priority="9" operator="equal">
      <formula>"O"</formula>
    </cfRule>
  </conditionalFormatting>
  <dataValidations count="2">
    <dataValidation type="list" allowBlank="1" showInputMessage="1" showErrorMessage="1" sqref="P16:P47" xr:uid="{E3B9210D-368B-4FB4-A368-8A854721BFF3}">
      <formula1>"입력하세요,O,X"</formula1>
    </dataValidation>
    <dataValidation type="whole" allowBlank="1" showInputMessage="1" showErrorMessage="1" sqref="C2:Q3" xr:uid="{58D07217-8D09-46B8-980E-027E75CF5997}">
      <formula1>1</formula1>
      <formula2>12</formula2>
    </dataValidation>
  </dataValidations>
  <pageMargins left="0.7" right="0.7" top="0.75" bottom="0.75" header="0.3" footer="0.3"/>
  <pageSetup paperSize="9" scale="52" orientation="portrait" horizontalDpi="300" verticalDpi="300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</vt:i4>
      </vt:variant>
      <vt:variant>
        <vt:lpstr>이름 지정된 범위</vt:lpstr>
      </vt:variant>
      <vt:variant>
        <vt:i4>3</vt:i4>
      </vt:variant>
    </vt:vector>
  </HeadingPairs>
  <TitlesOfParts>
    <vt:vector size="6" baseType="lpstr">
      <vt:lpstr>양식</vt:lpstr>
      <vt:lpstr>초과근무신청서(작성예시)</vt:lpstr>
      <vt:lpstr>수당신청서(작성예시)</vt:lpstr>
      <vt:lpstr>'수당신청서(작성예시)'!Print_Area</vt:lpstr>
      <vt:lpstr>양식!Print_Area</vt:lpstr>
      <vt:lpstr>'초과근무신청서(작성예시)'!Print_Area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도영</dc:creator>
  <cp:lastModifiedBy>남 소희</cp:lastModifiedBy>
  <cp:lastPrinted>2025-03-21T04:35:26Z</cp:lastPrinted>
  <dcterms:created xsi:type="dcterms:W3CDTF">2022-06-22T03:01:23Z</dcterms:created>
  <dcterms:modified xsi:type="dcterms:W3CDTF">2026-02-23T23:53:44Z</dcterms:modified>
</cp:coreProperties>
</file>