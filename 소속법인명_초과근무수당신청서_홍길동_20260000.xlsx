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loudoc\AppData\Local\Microsoft\Windows\INetCache\Content.Outlook\XGW195YR\"/>
    </mc:Choice>
  </mc:AlternateContent>
  <xr:revisionPtr revIDLastSave="0" documentId="13_ncr:1_{57963C9B-545A-4CC9-AF1A-0B1FFD0D2AA7}" xr6:coauthVersionLast="47" xr6:coauthVersionMax="47" xr10:uidLastSave="{00000000-0000-0000-0000-000000000000}"/>
  <bookViews>
    <workbookView xWindow="-120" yWindow="-120" windowWidth="29040" windowHeight="15720" xr2:uid="{01A0517A-9269-4209-A80A-A58C87E878D7}"/>
  </bookViews>
  <sheets>
    <sheet name="양식" sheetId="2" r:id="rId1"/>
    <sheet name="수당신청서(작성예시)" sheetId="7" r:id="rId2"/>
  </sheets>
  <definedNames>
    <definedName name="_xlnm.Print_Area" localSheetId="1">'수당신청서(작성예시)'!$B$1:$V$48</definedName>
    <definedName name="_xlnm.Print_Area" localSheetId="0">양식!$B$1:$S$48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0" i="2" l="1"/>
  <c r="L20" i="2" s="1"/>
  <c r="D6" i="2"/>
  <c r="K47" i="7"/>
  <c r="L47" i="7" s="1"/>
  <c r="K46" i="7"/>
  <c r="L46" i="7" s="1"/>
  <c r="K45" i="7"/>
  <c r="L45" i="7" s="1"/>
  <c r="K44" i="7"/>
  <c r="L44" i="7" s="1"/>
  <c r="K43" i="7"/>
  <c r="L43" i="7" s="1"/>
  <c r="K42" i="7"/>
  <c r="L42" i="7" s="1"/>
  <c r="K41" i="7"/>
  <c r="L41" i="7" s="1"/>
  <c r="K40" i="7"/>
  <c r="L40" i="7" s="1"/>
  <c r="K39" i="7"/>
  <c r="L39" i="7" s="1"/>
  <c r="K38" i="7"/>
  <c r="L38" i="7" s="1"/>
  <c r="K37" i="7"/>
  <c r="L37" i="7" s="1"/>
  <c r="K36" i="7"/>
  <c r="L36" i="7" s="1"/>
  <c r="K35" i="7"/>
  <c r="L35" i="7" s="1"/>
  <c r="K34" i="7"/>
  <c r="L34" i="7" s="1"/>
  <c r="K33" i="7"/>
  <c r="L33" i="7" s="1"/>
  <c r="K32" i="7"/>
  <c r="L32" i="7" s="1"/>
  <c r="K31" i="7"/>
  <c r="L31" i="7" s="1"/>
  <c r="K30" i="7"/>
  <c r="L30" i="7" s="1"/>
  <c r="K29" i="7"/>
  <c r="L29" i="7" s="1"/>
  <c r="K28" i="7"/>
  <c r="L28" i="7" s="1"/>
  <c r="K27" i="7"/>
  <c r="L27" i="7" s="1"/>
  <c r="K26" i="7"/>
  <c r="L26" i="7" s="1"/>
  <c r="K25" i="7"/>
  <c r="L25" i="7" s="1"/>
  <c r="K24" i="7"/>
  <c r="L24" i="7" s="1"/>
  <c r="K23" i="7"/>
  <c r="L23" i="7" s="1"/>
  <c r="K22" i="7"/>
  <c r="L22" i="7" s="1"/>
  <c r="K21" i="7"/>
  <c r="L21" i="7" s="1"/>
  <c r="K20" i="7"/>
  <c r="L20" i="7" s="1"/>
  <c r="K19" i="7"/>
  <c r="L19" i="7" s="1"/>
  <c r="K18" i="7"/>
  <c r="L18" i="7" s="1"/>
  <c r="K17" i="7"/>
  <c r="L17" i="7" s="1"/>
  <c r="K16" i="7"/>
  <c r="L16" i="7" s="1"/>
  <c r="D6" i="7"/>
  <c r="C43" i="7" s="1"/>
  <c r="K17" i="2"/>
  <c r="K18" i="2"/>
  <c r="L18" i="2" s="1"/>
  <c r="K19" i="2"/>
  <c r="L19" i="2" s="1"/>
  <c r="K21" i="2"/>
  <c r="L21" i="2" s="1"/>
  <c r="K22" i="2"/>
  <c r="L22" i="2" s="1"/>
  <c r="K23" i="2"/>
  <c r="L23" i="2" s="1"/>
  <c r="K24" i="2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16" i="2"/>
  <c r="L16" i="2" s="1"/>
  <c r="S12" i="7" l="1"/>
  <c r="C32" i="7"/>
  <c r="C24" i="7"/>
  <c r="C29" i="7"/>
  <c r="C42" i="7"/>
  <c r="C34" i="7"/>
  <c r="C28" i="7"/>
  <c r="C40" i="7"/>
  <c r="C44" i="7"/>
  <c r="C46" i="7" s="1"/>
  <c r="C21" i="7"/>
  <c r="C36" i="7"/>
  <c r="C26" i="7"/>
  <c r="C18" i="7"/>
  <c r="C20" i="7"/>
  <c r="C37" i="7"/>
  <c r="T12" i="7"/>
  <c r="C23" i="7"/>
  <c r="C31" i="7"/>
  <c r="C39" i="7"/>
  <c r="C17" i="7"/>
  <c r="C25" i="7"/>
  <c r="C33" i="7"/>
  <c r="C41" i="7"/>
  <c r="C22" i="7"/>
  <c r="C30" i="7"/>
  <c r="C38" i="7"/>
  <c r="C19" i="7"/>
  <c r="C27" i="7"/>
  <c r="C35" i="7"/>
  <c r="L17" i="2"/>
  <c r="L24" i="2"/>
  <c r="L31" i="2"/>
  <c r="C45" i="7" l="1"/>
  <c r="C47" i="7"/>
  <c r="C20" i="2" l="1"/>
  <c r="C17" i="2" l="1"/>
  <c r="C39" i="2"/>
  <c r="C31" i="2"/>
  <c r="C23" i="2"/>
  <c r="C38" i="2"/>
  <c r="C30" i="2"/>
  <c r="C22" i="2"/>
  <c r="C37" i="2"/>
  <c r="C29" i="2"/>
  <c r="C21" i="2"/>
  <c r="C44" i="2"/>
  <c r="C36" i="2"/>
  <c r="C28" i="2"/>
  <c r="C43" i="2"/>
  <c r="C35" i="2"/>
  <c r="C27" i="2"/>
  <c r="C19" i="2"/>
  <c r="C42" i="2"/>
  <c r="C34" i="2"/>
  <c r="C26" i="2"/>
  <c r="C18" i="2"/>
  <c r="C40" i="2"/>
  <c r="C32" i="2"/>
  <c r="C24" i="2"/>
  <c r="C41" i="2"/>
  <c r="C33" i="2"/>
  <c r="C25" i="2"/>
  <c r="C45" i="2" l="1"/>
  <c r="C46" i="2"/>
  <c r="C47" i="2"/>
  <c r="P12" i="2"/>
  <c r="Q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도영</author>
    <author>netid</author>
  </authors>
  <commentList>
    <comment ref="C2" authorId="0" shapeId="0" xr:uid="{757D1F30-9495-400F-ABD6-5B04FEEF4E2A}">
      <text>
        <r>
          <rPr>
            <b/>
            <sz val="14"/>
            <color indexed="10"/>
            <rFont val="맑은 고딕"/>
            <family val="3"/>
            <charset val="129"/>
            <scheme val="minor"/>
          </rPr>
          <t xml:space="preserve">① 초과근무한 월 기재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숫자만 기재
**5월일 경우 숫자 5만 입력</t>
        </r>
      </text>
    </comment>
    <comment ref="D6" authorId="0" shapeId="0" xr:uid="{DDF527DA-B8C3-48D9-9DA0-DDBC2A2B0CB5}">
      <text>
        <r>
          <rPr>
            <b/>
            <sz val="14"/>
            <color indexed="10"/>
            <rFont val="맑은 고딕"/>
            <family val="3"/>
            <charset val="129"/>
            <scheme val="minor"/>
          </rPr>
          <t xml:space="preserve">② 작성일,부서명,직위,성명 기재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**직전년도 신청분은 작성일을 전년도 12/31로 기재할 것
(작성일 기준으로 수행일자가 산정되므로 유의)</t>
        </r>
      </text>
    </comment>
    <comment ref="Q12" authorId="1" shapeId="0" xr:uid="{A307292F-914C-4B94-ACD7-BC0D7B6179EF}">
      <text>
        <r>
          <rPr>
            <b/>
            <sz val="10"/>
            <color indexed="10"/>
            <rFont val="맑은 고딕"/>
            <family val="3"/>
            <charset val="129"/>
            <scheme val="minor"/>
          </rPr>
          <t xml:space="preserve">※참고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1시간 미만 근무한 날은 수당이 지급되지 않으며,1시간 이상 근무 시 수당은 30분단위로 지급됩니다. </t>
        </r>
      </text>
    </comment>
    <comment ref="B13" authorId="1" shapeId="0" xr:uid="{4525F3E3-BEF6-459A-A8EB-82F48D1C63D5}">
      <text>
        <r>
          <rPr>
            <b/>
            <sz val="14"/>
            <color indexed="10"/>
            <rFont val="맑은 고딕"/>
            <family val="3"/>
            <charset val="129"/>
            <scheme val="minor"/>
          </rPr>
          <t xml:space="preserve">③ 신청자 기입란 작성
</t>
        </r>
        <r>
          <rPr>
            <b/>
            <u/>
            <sz val="10"/>
            <color indexed="10"/>
            <rFont val="맑은 고딕"/>
            <family val="3"/>
            <charset val="129"/>
            <scheme val="minor"/>
          </rPr>
          <t xml:space="preserve">※ 작성 전 [예시]시트 필독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초과근무 '수당' 신청 시 →</t>
        </r>
        <r>
          <rPr>
            <b/>
            <sz val="9"/>
            <color indexed="39"/>
            <rFont val="맑은 고딕"/>
            <family val="3"/>
            <charset val="129"/>
            <scheme val="minor"/>
          </rPr>
          <t xml:space="preserve"> [수당 신청서(작성예시)]시트 참고</t>
        </r>
      </text>
    </comment>
    <comment ref="G15" authorId="1" shapeId="0" xr:uid="{5594CD94-DE2B-4B6E-BE58-396A4AE33A9E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 xml:space="preserve">작성예시)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식사, 이동시간 등
→ 제외할 비근무 시간 입력</t>
        </r>
      </text>
    </comment>
    <comment ref="H15" authorId="1" shapeId="0" xr:uid="{882FC615-900F-452F-8C36-C15241F7BF94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맑은 고딕"/>
            <family val="3"/>
            <charset val="129"/>
            <scheme val="minor"/>
          </rPr>
          <t>❗대체휴무 지급 여부 (입력 필수)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초과근무한 시간만큼 다른 근무일에 늦게 출근하거나 일찍 퇴근하는 등 대체휴무를 제공받은 경우 "O"로 입력합니다. 
(예: 평일 야간근무 → 익일 오전 대체휴무
/ 주말 근무 → 평일 대체휴무)
※ 대체휴무 지급 여부가 미입력된 경우, 수당 신청 시간이 계산되지 않습니다.
※ 근무시간 조정 후에도 정규 근무시간(주 40시간)을 초과하는 경우에는 연장근무 신청이 가능합니다.</t>
        </r>
      </text>
    </comment>
    <comment ref="I15" authorId="1" shapeId="0" xr:uid="{E87BCC01-2CE1-40D9-A9EF-E3FD5606D1C2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>※ 주의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근로시간 기준으로 계산, 휴게시간 등은 제외</t>
        </r>
      </text>
    </comment>
    <comment ref="J15" authorId="1" shapeId="0" xr:uid="{6D930DFB-C2DD-4155-9C63-821F1E7BB254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>작성예시)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 
2026-01-02 (금) 
9:00~13:00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도영</author>
    <author>netid</author>
  </authors>
  <commentList>
    <comment ref="C2" authorId="0" shapeId="0" xr:uid="{E5B0CD23-8D89-4304-AF65-B27B48445B50}">
      <text>
        <r>
          <rPr>
            <b/>
            <sz val="14"/>
            <color indexed="10"/>
            <rFont val="맑은 고딕"/>
            <family val="3"/>
            <charset val="129"/>
            <scheme val="minor"/>
          </rPr>
          <t xml:space="preserve">① 초과근무한 월 기재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숫자만 기재
**5월일 경우 숫자 5만 입력</t>
        </r>
      </text>
    </comment>
    <comment ref="D6" authorId="0" shapeId="0" xr:uid="{6D8C3F1F-4329-48BC-9D7C-75C8A811E2D6}">
      <text>
        <r>
          <rPr>
            <b/>
            <sz val="14"/>
            <color indexed="10"/>
            <rFont val="맑은 고딕"/>
            <family val="3"/>
            <charset val="129"/>
            <scheme val="minor"/>
          </rPr>
          <t xml:space="preserve">② 작성일,부서명,직위,성명 기재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**직전년도 신청분은 작성일을 전년도 12/31로 기재할 것
(작성일 기준으로 수행일자가 산정되므로 유의)</t>
        </r>
      </text>
    </comment>
    <comment ref="T12" authorId="1" shapeId="0" xr:uid="{222EB170-33B6-4030-B33E-BD97560296A4}">
      <text>
        <r>
          <rPr>
            <b/>
            <sz val="10"/>
            <color indexed="10"/>
            <rFont val="맑은 고딕"/>
            <family val="3"/>
            <charset val="129"/>
            <scheme val="minor"/>
          </rPr>
          <t xml:space="preserve">※참고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1시간 미만 근무한 날은 수당이 지급되지 않으며,1시간 이상 근무 시 수당은 30분단위로 지급됩니다. </t>
        </r>
      </text>
    </comment>
    <comment ref="G15" authorId="1" shapeId="0" xr:uid="{CB7370A9-C2E6-47F5-A4C7-3B1EAC119A73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 xml:space="preserve">작성예시)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식사, 이동시간 등
→ 제외할 비근무 시간 입력</t>
        </r>
      </text>
    </comment>
    <comment ref="H15" authorId="1" shapeId="0" xr:uid="{582CFCAD-C674-4B31-8BF2-6F0BCB774E4C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맑은 고딕"/>
            <family val="3"/>
            <charset val="129"/>
            <scheme val="minor"/>
          </rPr>
          <t>❗대체휴무 지급 여부 (입력 필수)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초과근무한 시간만큼 다른 근무일에 늦게 출근하거나 일찍 퇴근하는 등 대체휴무를 제공받은 경우 "O"로 입력합니다. 
(예: 평일 야간근무 → 익일 오전 대체휴무
/ 주말 근무 → 평일 대체휴무)
※ 대체휴무 지급 여부가 미입력된 경우, 수당 신청 시간이 계산되지 않습니다.
※ 근무시간 조정 후에도 정규 근무시간(주 40시간)을 초과하는 경우에는 연장근무 신청이 가능합니다.</t>
        </r>
      </text>
    </comment>
    <comment ref="I15" authorId="1" shapeId="0" xr:uid="{104BCDE3-84C0-44C8-8F32-009FFAEFD580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>※ 주의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근로시간 기준으로 계산, 휴게시간 등은 제외</t>
        </r>
      </text>
    </comment>
    <comment ref="J15" authorId="1" shapeId="0" xr:uid="{8D642171-DAAC-46FF-A405-38B9EF5F92C5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>작성예시)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 
2026-01-02 (금) 
9:00~13:00</t>
        </r>
      </text>
    </comment>
  </commentList>
</comments>
</file>

<file path=xl/sharedStrings.xml><?xml version="1.0" encoding="utf-8"?>
<sst xmlns="http://schemas.openxmlformats.org/spreadsheetml/2006/main" count="131" uniqueCount="39">
  <si>
    <t>결 재</t>
    <phoneticPr fontId="2" type="noConversion"/>
  </si>
  <si>
    <t>팀장</t>
    <phoneticPr fontId="3" type="noConversion"/>
  </si>
  <si>
    <t>성     명</t>
    <phoneticPr fontId="4" type="noConversion"/>
  </si>
  <si>
    <t>홍길동</t>
    <phoneticPr fontId="1" type="noConversion"/>
  </si>
  <si>
    <t>순번</t>
    <phoneticPr fontId="4" type="noConversion"/>
  </si>
  <si>
    <t>수행일자</t>
    <phoneticPr fontId="4" type="noConversion"/>
  </si>
  <si>
    <t>이 하 여 백</t>
    <phoneticPr fontId="1" type="noConversion"/>
  </si>
  <si>
    <t>CFO</t>
  </si>
  <si>
    <t>제외사유</t>
  </si>
  <si>
    <t>신청자 기입란</t>
    <phoneticPr fontId="1" type="noConversion"/>
  </si>
  <si>
    <t>변동사유</t>
    <phoneticPr fontId="1" type="noConversion"/>
  </si>
  <si>
    <t>경영지원팀 확인란</t>
    <phoneticPr fontId="1" type="noConversion"/>
  </si>
  <si>
    <t>대표이사</t>
    <phoneticPr fontId="1" type="noConversion"/>
  </si>
  <si>
    <t xml:space="preserve"> 부서명 / 직위</t>
    <phoneticPr fontId="4" type="noConversion"/>
  </si>
  <si>
    <t>제외할 시간
(비근무시간)</t>
    <phoneticPr fontId="4" type="noConversion"/>
  </si>
  <si>
    <t>oooo팀 / 연구원</t>
    <phoneticPr fontId="2" type="noConversion"/>
  </si>
  <si>
    <t>작 성 일</t>
    <phoneticPr fontId="4" type="noConversion"/>
  </si>
  <si>
    <t>신청시간</t>
    <phoneticPr fontId="4" type="noConversion"/>
  </si>
  <si>
    <t>지급시간</t>
    <phoneticPr fontId="4" type="noConversion"/>
  </si>
  <si>
    <t>실 근무시작</t>
    <phoneticPr fontId="1" type="noConversion"/>
  </si>
  <si>
    <t>실 근무종료</t>
    <phoneticPr fontId="1" type="noConversion"/>
  </si>
  <si>
    <t>신청</t>
    <phoneticPr fontId="1" type="noConversion"/>
  </si>
  <si>
    <t>지급</t>
    <phoneticPr fontId="1" type="noConversion"/>
  </si>
  <si>
    <t>예시</t>
    <phoneticPr fontId="1" type="noConversion"/>
  </si>
  <si>
    <t>YYYY-MM-DD</t>
    <phoneticPr fontId="1" type="noConversion"/>
  </si>
  <si>
    <t>식사</t>
    <phoneticPr fontId="1" type="noConversion"/>
  </si>
  <si>
    <t>입력하세요</t>
    <phoneticPr fontId="1" type="noConversion"/>
  </si>
  <si>
    <t>대체휴무
지급여부</t>
    <phoneticPr fontId="1" type="noConversion"/>
  </si>
  <si>
    <t>대체휴무
시간</t>
    <phoneticPr fontId="1" type="noConversion"/>
  </si>
  <si>
    <t>비고</t>
    <phoneticPr fontId="1" type="noConversion"/>
  </si>
  <si>
    <t>입력하세요</t>
  </si>
  <si>
    <t>O</t>
    <phoneticPr fontId="1" type="noConversion"/>
  </si>
  <si>
    <t>2026-01-02 (금)
9:00~13:00</t>
    <phoneticPr fontId="1" type="noConversion"/>
  </si>
  <si>
    <t>O</t>
  </si>
  <si>
    <t>X</t>
  </si>
  <si>
    <t>2026-01-06 (화)
9:00~13:00</t>
    <phoneticPr fontId="1" type="noConversion"/>
  </si>
  <si>
    <t>초과근무수당 합계</t>
  </si>
  <si>
    <t>초과근무 수당 신청시 작성</t>
  </si>
  <si>
    <t>초과근무수당 처리상세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</si>
</sst>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yyyy/mm/dd;@"/>
    <numFmt numFmtId="177" formatCode="0.0_);[Red]\(0.0\)"/>
    <numFmt numFmtId="178" formatCode="0#&quot;월 초과근무수당 신청서&quot;"/>
    <numFmt numFmtId="179" formatCode="[hh]:mm"/>
    <numFmt numFmtId="180" formatCode="0#&quot;월 초과근무(수당) 신청서&quot;"/>
    <numFmt numFmtId="181" formatCode="0#&quot;월 연장근무(수당) 신청서&quot;"/>
    <numFmt numFmtId="182" formatCode="yyyy/mm/dd\ \(aaa\)"/>
    <numFmt numFmtId="183" formatCode="0.0_ 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함초롬돋움"/>
      <family val="2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9"/>
      <color indexed="81"/>
      <name val="Tahoma"/>
      <family val="2"/>
    </font>
    <font>
      <sz val="11"/>
      <name val="함초롬돋움"/>
      <family val="3"/>
      <charset val="129"/>
    </font>
    <font>
      <b/>
      <sz val="24"/>
      <name val="함초롬돋움"/>
      <family val="3"/>
      <charset val="129"/>
    </font>
    <font>
      <b/>
      <sz val="10"/>
      <name val="함초롬돋움"/>
      <family val="3"/>
      <charset val="129"/>
    </font>
    <font>
      <b/>
      <sz val="9"/>
      <color theme="1"/>
      <name val="함초롬돋움"/>
      <family val="3"/>
      <charset val="129"/>
    </font>
    <font>
      <b/>
      <sz val="11"/>
      <name val="함초롬돋움"/>
      <family val="3"/>
      <charset val="129"/>
    </font>
    <font>
      <sz val="11"/>
      <color theme="1"/>
      <name val="함초롬돋움"/>
      <family val="3"/>
      <charset val="129"/>
    </font>
    <font>
      <b/>
      <sz val="11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sz val="10"/>
      <color theme="1"/>
      <name val="함초롬돋움"/>
      <family val="3"/>
      <charset val="129"/>
    </font>
    <font>
      <b/>
      <sz val="1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  <scheme val="minor"/>
    </font>
    <font>
      <b/>
      <u/>
      <sz val="10"/>
      <color indexed="10"/>
      <name val="맑은 고딕"/>
      <family val="3"/>
      <charset val="129"/>
      <scheme val="minor"/>
    </font>
    <font>
      <b/>
      <sz val="9"/>
      <color indexed="39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176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/>
    <xf numFmtId="0" fontId="6" fillId="0" borderId="2" xfId="0" applyFont="1" applyBorder="1" applyAlignment="1"/>
    <xf numFmtId="0" fontId="6" fillId="0" borderId="0" xfId="0" applyFont="1" applyAlignment="1"/>
    <xf numFmtId="0" fontId="6" fillId="0" borderId="3" xfId="0" applyFont="1" applyBorder="1" applyAlignment="1"/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3" fillId="0" borderId="4" xfId="0" applyFont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 wrapText="1"/>
    </xf>
    <xf numFmtId="182" fontId="13" fillId="0" borderId="4" xfId="0" applyNumberFormat="1" applyFont="1" applyBorder="1" applyAlignment="1">
      <alignment horizontal="center" vertical="center"/>
    </xf>
    <xf numFmtId="179" fontId="13" fillId="0" borderId="5" xfId="0" applyNumberFormat="1" applyFont="1" applyBorder="1" applyAlignment="1" applyProtection="1">
      <alignment horizontal="center" vertical="center" wrapText="1"/>
      <protection locked="0"/>
    </xf>
    <xf numFmtId="181" fontId="7" fillId="0" borderId="0" xfId="0" applyNumberFormat="1" applyFont="1" applyAlignment="1" applyProtection="1">
      <alignment horizontal="center" vertical="center"/>
      <protection locked="0"/>
    </xf>
    <xf numFmtId="179" fontId="13" fillId="0" borderId="4" xfId="0" applyNumberFormat="1" applyFont="1" applyBorder="1" applyAlignment="1" applyProtection="1">
      <alignment horizontal="center" vertical="center" wrapText="1"/>
      <protection locked="0"/>
    </xf>
    <xf numFmtId="183" fontId="13" fillId="7" borderId="4" xfId="0" applyNumberFormat="1" applyFont="1" applyFill="1" applyBorder="1" applyAlignment="1" applyProtection="1">
      <alignment horizontal="center" vertical="center"/>
      <protection locked="0"/>
    </xf>
    <xf numFmtId="0" fontId="10" fillId="5" borderId="15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183" fontId="14" fillId="3" borderId="26" xfId="0" applyNumberFormat="1" applyFont="1" applyFill="1" applyBorder="1" applyAlignment="1">
      <alignment horizontal="center" vertical="center" wrapText="1"/>
    </xf>
    <xf numFmtId="183" fontId="14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Continuous"/>
    </xf>
    <xf numFmtId="0" fontId="6" fillId="0" borderId="0" xfId="0" applyFont="1" applyAlignment="1">
      <alignment horizontal="centerContinuous"/>
    </xf>
    <xf numFmtId="181" fontId="7" fillId="0" borderId="0" xfId="0" applyNumberFormat="1" applyFont="1" applyAlignment="1" applyProtection="1">
      <alignment horizontal="centerContinuous" vertical="center"/>
      <protection locked="0"/>
    </xf>
    <xf numFmtId="0" fontId="7" fillId="0" borderId="0" xfId="0" applyFont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0" fillId="2" borderId="25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183" fontId="13" fillId="7" borderId="16" xfId="0" applyNumberFormat="1" applyFont="1" applyFill="1" applyBorder="1" applyAlignment="1" applyProtection="1">
      <alignment horizontal="center" vertical="center" wrapText="1"/>
      <protection locked="0"/>
    </xf>
    <xf numFmtId="181" fontId="7" fillId="0" borderId="0" xfId="0" applyNumberFormat="1" applyFont="1" applyAlignment="1">
      <alignment horizontal="center" vertical="center"/>
    </xf>
    <xf numFmtId="181" fontId="7" fillId="0" borderId="0" xfId="0" applyNumberFormat="1" applyFont="1" applyAlignment="1">
      <alignment horizontal="centerContinuous" vertical="center"/>
    </xf>
    <xf numFmtId="176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9" fontId="13" fillId="0" borderId="5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 vertical="center" wrapText="1"/>
    </xf>
    <xf numFmtId="179" fontId="13" fillId="0" borderId="28" xfId="0" applyNumberFormat="1" applyFont="1" applyBorder="1" applyAlignment="1">
      <alignment horizontal="center" vertical="center" wrapText="1"/>
    </xf>
    <xf numFmtId="177" fontId="13" fillId="7" borderId="4" xfId="0" applyNumberFormat="1" applyFont="1" applyFill="1" applyBorder="1" applyAlignment="1">
      <alignment horizontal="center" vertical="center"/>
    </xf>
    <xf numFmtId="183" fontId="13" fillId="7" borderId="4" xfId="0" applyNumberFormat="1" applyFont="1" applyFill="1" applyBorder="1" applyAlignment="1">
      <alignment horizontal="center" vertical="center"/>
    </xf>
    <xf numFmtId="183" fontId="13" fillId="7" borderId="16" xfId="0" applyNumberFormat="1" applyFont="1" applyFill="1" applyBorder="1" applyAlignment="1">
      <alignment horizontal="center" vertical="center" wrapText="1"/>
    </xf>
    <xf numFmtId="177" fontId="13" fillId="0" borderId="5" xfId="0" applyNumberFormat="1" applyFont="1" applyBorder="1" applyAlignment="1">
      <alignment horizontal="center" vertical="center" wrapText="1"/>
    </xf>
    <xf numFmtId="177" fontId="13" fillId="7" borderId="4" xfId="0" applyNumberFormat="1" applyFont="1" applyFill="1" applyBorder="1" applyAlignment="1" applyProtection="1">
      <alignment horizontal="center" vertical="center"/>
      <protection locked="0"/>
    </xf>
    <xf numFmtId="177" fontId="12" fillId="0" borderId="31" xfId="0" applyNumberFormat="1" applyFont="1" applyBorder="1" applyAlignment="1">
      <alignment horizontal="center" vertical="center"/>
    </xf>
    <xf numFmtId="177" fontId="12" fillId="0" borderId="32" xfId="0" applyNumberFormat="1" applyFont="1" applyBorder="1" applyAlignment="1">
      <alignment horizontal="center" vertical="center"/>
    </xf>
    <xf numFmtId="182" fontId="13" fillId="0" borderId="5" xfId="0" applyNumberFormat="1" applyFont="1" applyBorder="1" applyAlignment="1">
      <alignment horizontal="center" vertical="center"/>
    </xf>
    <xf numFmtId="0" fontId="10" fillId="2" borderId="29" xfId="0" applyFont="1" applyFill="1" applyBorder="1" applyAlignment="1">
      <alignment horizontal="centerContinuous" vertical="center"/>
    </xf>
    <xf numFmtId="0" fontId="10" fillId="2" borderId="24" xfId="0" applyFont="1" applyFill="1" applyBorder="1" applyAlignment="1">
      <alignment horizontal="centerContinuous" vertical="center"/>
    </xf>
    <xf numFmtId="0" fontId="10" fillId="5" borderId="18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179" fontId="13" fillId="0" borderId="28" xfId="0" applyNumberFormat="1" applyFont="1" applyBorder="1" applyAlignment="1" applyProtection="1">
      <alignment horizontal="center" vertical="center" wrapText="1"/>
      <protection locked="0"/>
    </xf>
    <xf numFmtId="179" fontId="13" fillId="0" borderId="34" xfId="0" applyNumberFormat="1" applyFont="1" applyBorder="1" applyAlignment="1" applyProtection="1">
      <alignment horizontal="center" vertical="center" wrapText="1"/>
      <protection locked="0"/>
    </xf>
    <xf numFmtId="179" fontId="13" fillId="0" borderId="35" xfId="0" applyNumberFormat="1" applyFont="1" applyBorder="1" applyAlignment="1" applyProtection="1">
      <alignment horizontal="center" vertical="center" wrapText="1"/>
      <protection locked="0"/>
    </xf>
    <xf numFmtId="177" fontId="13" fillId="7" borderId="35" xfId="0" applyNumberFormat="1" applyFont="1" applyFill="1" applyBorder="1" applyAlignment="1" applyProtection="1">
      <alignment horizontal="center" vertical="center"/>
      <protection locked="0"/>
    </xf>
    <xf numFmtId="179" fontId="13" fillId="0" borderId="36" xfId="0" applyNumberFormat="1" applyFont="1" applyBorder="1" applyAlignment="1" applyProtection="1">
      <alignment horizontal="center" vertical="center" wrapText="1"/>
      <protection locked="0"/>
    </xf>
    <xf numFmtId="183" fontId="13" fillId="7" borderId="35" xfId="0" applyNumberFormat="1" applyFont="1" applyFill="1" applyBorder="1" applyAlignment="1" applyProtection="1">
      <alignment horizontal="center" vertical="center"/>
      <protection locked="0"/>
    </xf>
    <xf numFmtId="183" fontId="13" fillId="7" borderId="32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26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82" fontId="13" fillId="0" borderId="36" xfId="0" applyNumberFormat="1" applyFont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183" fontId="14" fillId="3" borderId="31" xfId="0" applyNumberFormat="1" applyFont="1" applyFill="1" applyBorder="1" applyAlignment="1">
      <alignment horizontal="center" vertical="center" wrapText="1"/>
    </xf>
    <xf numFmtId="183" fontId="14" fillId="0" borderId="35" xfId="0" applyNumberFormat="1" applyFont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15" fillId="8" borderId="17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180" fontId="7" fillId="0" borderId="0" xfId="0" applyNumberFormat="1" applyFont="1" applyAlignment="1" applyProtection="1">
      <alignment horizontal="center" vertical="center"/>
      <protection locked="0"/>
    </xf>
    <xf numFmtId="0" fontId="8" fillId="2" borderId="4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0" fontId="15" fillId="8" borderId="19" xfId="0" applyFont="1" applyFill="1" applyBorder="1" applyAlignment="1">
      <alignment horizontal="center" vertical="center"/>
    </xf>
    <xf numFmtId="0" fontId="15" fillId="8" borderId="21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</cellXfs>
  <cellStyles count="1">
    <cellStyle name="표준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/>
        <color theme="2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2" tint="-0.24994659260841701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4CCCC"/>
      <color rgb="FFFDE9D9"/>
      <color rgb="FFD9EAF7"/>
      <color rgb="FFFEA890"/>
      <color rgb="FFFE8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3921</xdr:rowOff>
    </xdr:from>
    <xdr:to>
      <xdr:col>11</xdr:col>
      <xdr:colOff>0</xdr:colOff>
      <xdr:row>3</xdr:row>
      <xdr:rowOff>104775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88C14B3-711C-40AE-A720-4FB0C69DC6D4}"/>
            </a:ext>
          </a:extLst>
        </xdr:cNvPr>
        <xdr:cNvGrpSpPr/>
      </xdr:nvGrpSpPr>
      <xdr:grpSpPr>
        <a:xfrm>
          <a:off x="504265" y="777127"/>
          <a:ext cx="8796617" cy="100854"/>
          <a:chOff x="314325" y="495300"/>
          <a:chExt cx="3600450" cy="47625"/>
        </a:xfrm>
      </xdr:grpSpPr>
      <xdr:sp macro="" textlink="">
        <xdr:nvSpPr>
          <xdr:cNvPr id="3" name="Line 1">
            <a:extLst>
              <a:ext uri="{FF2B5EF4-FFF2-40B4-BE49-F238E27FC236}">
                <a16:creationId xmlns:a16="http://schemas.microsoft.com/office/drawing/2014/main" id="{71F53C90-1969-6D8F-FE15-CB24D8F021B1}"/>
              </a:ext>
            </a:extLst>
          </xdr:cNvPr>
          <xdr:cNvSpPr>
            <a:spLocks noChangeShapeType="1"/>
          </xdr:cNvSpPr>
        </xdr:nvSpPr>
        <xdr:spPr bwMode="auto">
          <a:xfrm>
            <a:off x="390525" y="495300"/>
            <a:ext cx="341947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2">
            <a:extLst>
              <a:ext uri="{FF2B5EF4-FFF2-40B4-BE49-F238E27FC236}">
                <a16:creationId xmlns:a16="http://schemas.microsoft.com/office/drawing/2014/main" id="{FB23FD10-B401-81B5-7DF0-4A8BFD6B1D1C}"/>
              </a:ext>
            </a:extLst>
          </xdr:cNvPr>
          <xdr:cNvSpPr>
            <a:spLocks noChangeShapeType="1"/>
          </xdr:cNvSpPr>
        </xdr:nvSpPr>
        <xdr:spPr bwMode="auto">
          <a:xfrm>
            <a:off x="314325" y="542925"/>
            <a:ext cx="3600450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262218</xdr:colOff>
      <xdr:row>1</xdr:row>
      <xdr:rowOff>50425</xdr:rowOff>
    </xdr:from>
    <xdr:to>
      <xdr:col>22</xdr:col>
      <xdr:colOff>437029</xdr:colOff>
      <xdr:row>7</xdr:row>
      <xdr:rowOff>22411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4BC56F0-8ACA-41C3-9F23-22F25D387177}"/>
            </a:ext>
          </a:extLst>
        </xdr:cNvPr>
        <xdr:cNvSpPr/>
      </xdr:nvSpPr>
      <xdr:spPr>
        <a:xfrm>
          <a:off x="21250836" y="240925"/>
          <a:ext cx="2909046" cy="1563221"/>
        </a:xfrm>
        <a:prstGeom prst="rect">
          <a:avLst/>
        </a:prstGeom>
        <a:solidFill>
          <a:srgbClr val="FFFFCC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④ 신청서 제출 </a:t>
          </a:r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(</a:t>
          </a:r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승인요청</a:t>
          </a:r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)</a:t>
          </a:r>
        </a:p>
        <a:p>
          <a:pPr algn="l"/>
          <a:endParaRPr lang="en-US" altLang="ko-KR" sz="1000" b="1">
            <a:solidFill>
              <a:srgbClr val="FF0000"/>
            </a:solidFill>
            <a:latin typeface="+mn-ea"/>
            <a:ea typeface="+mn-ea"/>
          </a:endParaRPr>
        </a:p>
        <a:p>
          <a:pPr algn="l"/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팀장님에게 메일로 승인요청 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(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첨부 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: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신청서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)</a:t>
          </a:r>
        </a:p>
        <a:p>
          <a:pPr algn="l"/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*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일자별로 개별 신청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필수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</a:t>
          </a:r>
        </a:p>
        <a:p>
          <a:pPr algn="l"/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(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사후 신청은 초과근무 종료 후 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3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일 이내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)</a:t>
          </a:r>
        </a:p>
        <a:p>
          <a:pPr algn="l"/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*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승인이 완료된 건에 한하여 지급됩니다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.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ㅁ</a:t>
          </a:r>
          <a:endParaRPr lang="en-US" altLang="ko-KR" sz="1000" b="1">
            <a:solidFill>
              <a:sysClr val="windowText" lastClr="000000"/>
            </a:solidFill>
            <a:latin typeface="+mn-ea"/>
            <a:ea typeface="+mn-ea"/>
            <a:cs typeface="Tahom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295274</xdr:rowOff>
    </xdr:from>
    <xdr:to>
      <xdr:col>11</xdr:col>
      <xdr:colOff>0</xdr:colOff>
      <xdr:row>3</xdr:row>
      <xdr:rowOff>104775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03DD252-D77D-488F-998F-3A0CB177443B}"/>
            </a:ext>
          </a:extLst>
        </xdr:cNvPr>
        <xdr:cNvGrpSpPr/>
      </xdr:nvGrpSpPr>
      <xdr:grpSpPr>
        <a:xfrm>
          <a:off x="504265" y="777127"/>
          <a:ext cx="8796617" cy="100854"/>
          <a:chOff x="314325" y="495300"/>
          <a:chExt cx="3600450" cy="47625"/>
        </a:xfrm>
      </xdr:grpSpPr>
      <xdr:sp macro="" textlink="">
        <xdr:nvSpPr>
          <xdr:cNvPr id="3" name="Line 1">
            <a:extLst>
              <a:ext uri="{FF2B5EF4-FFF2-40B4-BE49-F238E27FC236}">
                <a16:creationId xmlns:a16="http://schemas.microsoft.com/office/drawing/2014/main" id="{CFFDBB9E-EAF4-124D-99ED-BBCF0EFBBBE8}"/>
              </a:ext>
            </a:extLst>
          </xdr:cNvPr>
          <xdr:cNvSpPr>
            <a:spLocks noChangeShapeType="1"/>
          </xdr:cNvSpPr>
        </xdr:nvSpPr>
        <xdr:spPr bwMode="auto">
          <a:xfrm>
            <a:off x="390525" y="495300"/>
            <a:ext cx="341947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2">
            <a:extLst>
              <a:ext uri="{FF2B5EF4-FFF2-40B4-BE49-F238E27FC236}">
                <a16:creationId xmlns:a16="http://schemas.microsoft.com/office/drawing/2014/main" id="{9A5F6C54-145D-0DD2-3D9F-4030A4A97288}"/>
              </a:ext>
            </a:extLst>
          </xdr:cNvPr>
          <xdr:cNvSpPr>
            <a:spLocks noChangeShapeType="1"/>
          </xdr:cNvSpPr>
        </xdr:nvSpPr>
        <xdr:spPr bwMode="auto">
          <a:xfrm>
            <a:off x="314325" y="542925"/>
            <a:ext cx="3600450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262218</xdr:colOff>
      <xdr:row>1</xdr:row>
      <xdr:rowOff>50425</xdr:rowOff>
    </xdr:from>
    <xdr:to>
      <xdr:col>25</xdr:col>
      <xdr:colOff>437029</xdr:colOff>
      <xdr:row>7</xdr:row>
      <xdr:rowOff>22411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C5FAFE93-0FDA-46C7-8E47-353A12BE953A}"/>
            </a:ext>
          </a:extLst>
        </xdr:cNvPr>
        <xdr:cNvSpPr/>
      </xdr:nvSpPr>
      <xdr:spPr>
        <a:xfrm>
          <a:off x="18131118" y="240925"/>
          <a:ext cx="2965636" cy="1572186"/>
        </a:xfrm>
        <a:prstGeom prst="rect">
          <a:avLst/>
        </a:prstGeom>
        <a:solidFill>
          <a:srgbClr val="FFFFCC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④ 신청서 제출 </a:t>
          </a:r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(</a:t>
          </a:r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승인요청</a:t>
          </a:r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)</a:t>
          </a:r>
        </a:p>
        <a:p>
          <a:pPr algn="l"/>
          <a:endParaRPr lang="en-US" altLang="ko-KR" sz="1000" b="1">
            <a:solidFill>
              <a:srgbClr val="FF0000"/>
            </a:solidFill>
            <a:latin typeface="+mn-ea"/>
            <a:ea typeface="+mn-ea"/>
          </a:endParaRPr>
        </a:p>
        <a:p>
          <a:pPr algn="l"/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팀장님에게 메일로 승인요청 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(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첨부 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: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신청서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)</a:t>
          </a:r>
        </a:p>
        <a:p>
          <a:pPr algn="l"/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*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일자별로 개별 신청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필수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</a:t>
          </a:r>
        </a:p>
        <a:p>
          <a:pPr algn="l"/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(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사후 신청은 연장근무 종료 후 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3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일 이내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)</a:t>
          </a:r>
        </a:p>
        <a:p>
          <a:pPr algn="l"/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*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승인이 완료된 건에 한하여 지급됩니다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100853</xdr:rowOff>
    </xdr:from>
    <xdr:to>
      <xdr:col>11</xdr:col>
      <xdr:colOff>83484</xdr:colOff>
      <xdr:row>3</xdr:row>
      <xdr:rowOff>72277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9D22BF6C-5539-48CE-88F6-775951B5FAA7}"/>
            </a:ext>
          </a:extLst>
        </xdr:cNvPr>
        <xdr:cNvSpPr/>
      </xdr:nvSpPr>
      <xdr:spPr>
        <a:xfrm>
          <a:off x="0" y="100853"/>
          <a:ext cx="9384366" cy="744630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235323</xdr:colOff>
      <xdr:row>0</xdr:row>
      <xdr:rowOff>33618</xdr:rowOff>
    </xdr:from>
    <xdr:ext cx="714375" cy="68050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78EA91-2397-4657-955C-D6515CE5DF5C}"/>
            </a:ext>
          </a:extLst>
        </xdr:cNvPr>
        <xdr:cNvSpPr txBox="1"/>
      </xdr:nvSpPr>
      <xdr:spPr>
        <a:xfrm>
          <a:off x="7485529" y="33618"/>
          <a:ext cx="714375" cy="680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ko-KR" altLang="en-US" sz="4400" b="1">
              <a:solidFill>
                <a:srgbClr val="00B050"/>
              </a:solidFill>
            </a:rPr>
            <a:t>①</a:t>
          </a:r>
        </a:p>
      </xdr:txBody>
    </xdr:sp>
    <xdr:clientData/>
  </xdr:oneCellAnchor>
  <xdr:twoCellAnchor>
    <xdr:from>
      <xdr:col>1</xdr:col>
      <xdr:colOff>369793</xdr:colOff>
      <xdr:row>5</xdr:row>
      <xdr:rowOff>0</xdr:rowOff>
    </xdr:from>
    <xdr:to>
      <xdr:col>4</xdr:col>
      <xdr:colOff>22412</xdr:colOff>
      <xdr:row>7</xdr:row>
      <xdr:rowOff>281828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A4F6B1BD-DBCB-485F-8F11-3B97246A75CD}"/>
            </a:ext>
          </a:extLst>
        </xdr:cNvPr>
        <xdr:cNvSpPr/>
      </xdr:nvSpPr>
      <xdr:spPr>
        <a:xfrm>
          <a:off x="470646" y="1199029"/>
          <a:ext cx="3059207" cy="864534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</xdr:col>
      <xdr:colOff>616323</xdr:colOff>
      <xdr:row>4</xdr:row>
      <xdr:rowOff>56030</xdr:rowOff>
    </xdr:from>
    <xdr:ext cx="819150" cy="106804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BB5FAD7-69D7-4908-8AD8-2F2EAAC68E95}"/>
            </a:ext>
          </a:extLst>
        </xdr:cNvPr>
        <xdr:cNvSpPr txBox="1"/>
      </xdr:nvSpPr>
      <xdr:spPr>
        <a:xfrm>
          <a:off x="2173941" y="1042148"/>
          <a:ext cx="819150" cy="10680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4400" b="1">
              <a:solidFill>
                <a:srgbClr val="00B050"/>
              </a:solidFill>
            </a:rPr>
            <a:t>②</a:t>
          </a:r>
        </a:p>
      </xdr:txBody>
    </xdr:sp>
    <xdr:clientData/>
  </xdr:oneCellAnchor>
  <xdr:twoCellAnchor>
    <xdr:from>
      <xdr:col>3</xdr:col>
      <xdr:colOff>22412</xdr:colOff>
      <xdr:row>13</xdr:row>
      <xdr:rowOff>11206</xdr:rowOff>
    </xdr:from>
    <xdr:to>
      <xdr:col>9</xdr:col>
      <xdr:colOff>1053353</xdr:colOff>
      <xdr:row>46</xdr:row>
      <xdr:rowOff>313763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0DFACBB-2CB4-421A-B960-84BE5FB2E8B3}"/>
            </a:ext>
          </a:extLst>
        </xdr:cNvPr>
        <xdr:cNvSpPr/>
      </xdr:nvSpPr>
      <xdr:spPr>
        <a:xfrm>
          <a:off x="9323294" y="3372971"/>
          <a:ext cx="6163235" cy="11934263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6</xdr:col>
      <xdr:colOff>179294</xdr:colOff>
      <xdr:row>20</xdr:row>
      <xdr:rowOff>89647</xdr:rowOff>
    </xdr:from>
    <xdr:ext cx="819150" cy="106804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1E83472-51B2-41BD-AA6F-69B791065908}"/>
            </a:ext>
          </a:extLst>
        </xdr:cNvPr>
        <xdr:cNvSpPr txBox="1"/>
      </xdr:nvSpPr>
      <xdr:spPr>
        <a:xfrm>
          <a:off x="12192000" y="6051176"/>
          <a:ext cx="819150" cy="10680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4400" b="1">
              <a:solidFill>
                <a:srgbClr val="00B050"/>
              </a:solidFill>
            </a:rPr>
            <a:t>③</a:t>
          </a:r>
        </a:p>
      </xdr:txBody>
    </xdr:sp>
    <xdr:clientData/>
  </xdr:oneCellAnchor>
  <xdr:twoCellAnchor>
    <xdr:from>
      <xdr:col>3</xdr:col>
      <xdr:colOff>582707</xdr:colOff>
      <xdr:row>23</xdr:row>
      <xdr:rowOff>11205</xdr:rowOff>
    </xdr:from>
    <xdr:to>
      <xdr:col>9</xdr:col>
      <xdr:colOff>605119</xdr:colOff>
      <xdr:row>38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F68ED16-07A9-4AF1-966A-FC75ACA454D8}"/>
            </a:ext>
          </a:extLst>
        </xdr:cNvPr>
        <xdr:cNvSpPr txBox="1"/>
      </xdr:nvSpPr>
      <xdr:spPr>
        <a:xfrm>
          <a:off x="9883589" y="7014881"/>
          <a:ext cx="5154706" cy="5199531"/>
        </a:xfrm>
        <a:prstGeom prst="rect">
          <a:avLst/>
        </a:prstGeom>
        <a:solidFill>
          <a:schemeClr val="bg2"/>
        </a:solidFill>
        <a:ln w="2857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solidFill>
                <a:schemeClr val="dk1"/>
              </a:solidFill>
              <a:latin typeface="고딕"/>
              <a:ea typeface="+mn-ea"/>
              <a:cs typeface="+mn-cs"/>
            </a:rPr>
            <a:t>초과근무 수당 신청 </a:t>
          </a:r>
          <a:r>
            <a:rPr lang="en-US" altLang="ko-KR" sz="1100" b="1">
              <a:solidFill>
                <a:schemeClr val="dk1"/>
              </a:solidFill>
              <a:latin typeface="고딕"/>
              <a:ea typeface="+mn-ea"/>
              <a:cs typeface="+mn-cs"/>
            </a:rPr>
            <a:t>: </a:t>
          </a:r>
          <a:r>
            <a:rPr lang="ko-KR" altLang="en-US" sz="1100" b="1">
              <a:solidFill>
                <a:schemeClr val="dk1"/>
              </a:solidFill>
              <a:latin typeface="고딕"/>
              <a:ea typeface="+mn-ea"/>
              <a:cs typeface="+mn-cs"/>
            </a:rPr>
            <a:t>초과근무 수당 신청서 작성</a:t>
          </a:r>
          <a:endParaRPr lang="en-US" altLang="ko-KR" sz="1100" b="1">
            <a:solidFill>
              <a:schemeClr val="dk1"/>
            </a:solidFill>
            <a:latin typeface="고딕"/>
            <a:ea typeface="+mn-ea"/>
            <a:cs typeface="+mn-cs"/>
          </a:endParaRPr>
        </a:p>
        <a:p>
          <a:r>
            <a:rPr lang="en-US" altLang="ko-KR" sz="1100">
              <a:latin typeface="고딕"/>
            </a:rPr>
            <a:t>※ </a:t>
          </a:r>
          <a:r>
            <a:rPr lang="ko-KR" altLang="en-US" sz="1100">
              <a:latin typeface="고딕"/>
            </a:rPr>
            <a:t>해당</a:t>
          </a:r>
          <a:r>
            <a:rPr lang="ko-KR" altLang="en-US" sz="1100" baseline="0">
              <a:latin typeface="고딕"/>
            </a:rPr>
            <a:t> 란은 초과근로 수당 신청시에만 작성 </a:t>
          </a:r>
          <a:endParaRPr lang="en-US" altLang="ko-KR" sz="1100">
            <a:latin typeface="고딕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ko-KR" altLang="en-US" sz="1100">
              <a:latin typeface="고딕"/>
            </a:rPr>
            <a:t>신청서는 초과근로 수당신청 기간</a:t>
          </a:r>
          <a:r>
            <a:rPr lang="en-US" altLang="ko-KR" sz="1100">
              <a:latin typeface="고딕"/>
            </a:rPr>
            <a:t>(</a:t>
          </a:r>
          <a:r>
            <a:rPr lang="ko-KR" altLang="en-US" sz="1100">
              <a:latin typeface="고딕"/>
            </a:rPr>
            <a:t>매월 초</a:t>
          </a:r>
          <a:r>
            <a:rPr lang="en-US" altLang="ko-KR" sz="1100">
              <a:latin typeface="고딕"/>
            </a:rPr>
            <a:t>)</a:t>
          </a:r>
          <a:r>
            <a:rPr lang="ko-KR" altLang="en-US" sz="1100">
              <a:latin typeface="고딕"/>
            </a:rPr>
            <a:t>에 신청 </a:t>
          </a:r>
          <a:endParaRPr lang="en-US" altLang="ko-KR" sz="1100">
            <a:latin typeface="고딕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※  </a:t>
          </a:r>
          <a:r>
            <a:rPr lang="ko-KR" altLang="en-US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사전</a:t>
          </a:r>
          <a:r>
            <a:rPr lang="en-US" altLang="ko-KR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/</a:t>
          </a:r>
          <a:r>
            <a:rPr lang="ko-KR" altLang="en-US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사후에 승인받지</a:t>
          </a:r>
          <a:r>
            <a:rPr lang="ko-KR" altLang="en-US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 않은 연장근무의 경우에는 반려될 수 있음 </a:t>
          </a:r>
          <a:endParaRPr lang="en-US" altLang="ko-KR" sz="1100" baseline="0">
            <a:solidFill>
              <a:schemeClr val="dk1"/>
            </a:solidFill>
            <a:effectLst/>
            <a:latin typeface="고딕"/>
            <a:ea typeface="+mn-ea"/>
            <a:cs typeface="+mn-cs"/>
          </a:endParaRPr>
        </a:p>
        <a:p>
          <a:endParaRPr lang="en-US" altLang="ko-KR" sz="1100" baseline="0">
            <a:solidFill>
              <a:schemeClr val="dk1"/>
            </a:solidFill>
            <a:effectLst/>
            <a:latin typeface="고딕"/>
            <a:ea typeface="+mn-ea"/>
            <a:cs typeface="+mn-cs"/>
          </a:endParaRPr>
        </a:p>
        <a:p>
          <a:r>
            <a:rPr lang="en-US" altLang="ko-KR" sz="1100" b="1">
              <a:latin typeface="고딕"/>
            </a:rPr>
            <a:t>1. </a:t>
          </a:r>
          <a:r>
            <a:rPr lang="ko-KR" altLang="en-US" sz="1100" b="1">
              <a:latin typeface="고딕"/>
            </a:rPr>
            <a:t>실 근무시작과 종료시간 기재</a:t>
          </a:r>
          <a:br>
            <a:rPr lang="ko-KR" altLang="en-US" sz="1100">
              <a:latin typeface="고딕"/>
            </a:rPr>
          </a:br>
          <a:r>
            <a:rPr lang="ko-KR" altLang="en-US" sz="1100">
              <a:latin typeface="고딕"/>
            </a:rPr>
            <a:t>→ 실제 근무 시작 시각과 종료 시각을 입력 </a:t>
          </a:r>
          <a:r>
            <a:rPr lang="en-US" altLang="ko-KR" sz="1100">
              <a:latin typeface="고딕"/>
            </a:rPr>
            <a:t>(</a:t>
          </a:r>
          <a:r>
            <a:rPr lang="ko-KR" altLang="en-US" sz="1100">
              <a:latin typeface="고딕"/>
            </a:rPr>
            <a:t>근태기기 기준</a:t>
          </a:r>
          <a:r>
            <a:rPr lang="en-US" altLang="ko-KR" sz="1100">
              <a:latin typeface="고딕"/>
            </a:rPr>
            <a:t>)</a:t>
          </a:r>
          <a:br>
            <a:rPr lang="en-US" altLang="ko-KR" sz="1100">
              <a:latin typeface="고딕"/>
            </a:rPr>
          </a:br>
          <a:r>
            <a:rPr lang="en-US" altLang="ko-KR" sz="1100">
              <a:latin typeface="고딕"/>
            </a:rPr>
            <a:t>→ </a:t>
          </a:r>
          <a:r>
            <a:rPr lang="ko-KR" altLang="en-US" sz="1100">
              <a:latin typeface="고딕"/>
            </a:rPr>
            <a:t>신청 시간은 자동으로 계산됨</a:t>
          </a:r>
          <a:endParaRPr lang="en-US" altLang="ko-KR" sz="1100">
            <a:latin typeface="고딕"/>
          </a:endParaRPr>
        </a:p>
        <a:p>
          <a:endParaRPr lang="ko-KR" altLang="en-US" sz="1100">
            <a:latin typeface="고딕"/>
          </a:endParaRPr>
        </a:p>
        <a:p>
          <a:r>
            <a:rPr lang="en-US" altLang="ko-KR" sz="1100" b="1">
              <a:latin typeface="고딕"/>
            </a:rPr>
            <a:t>2. </a:t>
          </a:r>
          <a:r>
            <a:rPr lang="ko-KR" altLang="en-US" sz="1100" b="1">
              <a:latin typeface="고딕"/>
            </a:rPr>
            <a:t>제외할 시간 기재</a:t>
          </a:r>
          <a:br>
            <a:rPr lang="ko-KR" altLang="en-US" sz="1100">
              <a:latin typeface="고딕"/>
            </a:rPr>
          </a:br>
          <a:r>
            <a:rPr lang="ko-KR" altLang="en-US" sz="1100">
              <a:latin typeface="고딕"/>
            </a:rPr>
            <a:t>→ 근무시작</a:t>
          </a:r>
          <a:r>
            <a:rPr lang="ko-KR" altLang="en-US" sz="1100" baseline="0">
              <a:latin typeface="고딕"/>
            </a:rPr>
            <a:t> </a:t>
          </a:r>
          <a:r>
            <a:rPr lang="en-US" altLang="ko-KR" sz="1100" baseline="0">
              <a:latin typeface="고딕"/>
            </a:rPr>
            <a:t>~ </a:t>
          </a:r>
          <a:r>
            <a:rPr lang="ko-KR" altLang="en-US" sz="1100" baseline="0">
              <a:latin typeface="고딕"/>
            </a:rPr>
            <a:t>근무종료 시간 중 근무하지 않은 시간과 제외사유 기재</a:t>
          </a:r>
          <a:endParaRPr lang="en-US" altLang="ko-KR" sz="1100" baseline="0">
            <a:latin typeface="고딕"/>
          </a:endParaRPr>
        </a:p>
        <a:p>
          <a:r>
            <a:rPr lang="en-US" altLang="ko-KR" sz="1100" baseline="0">
              <a:latin typeface="고딕"/>
            </a:rPr>
            <a:t>(</a:t>
          </a:r>
          <a:r>
            <a:rPr lang="ko-KR" altLang="en-US" sz="1100" baseline="0">
              <a:latin typeface="고딕"/>
            </a:rPr>
            <a:t>예 </a:t>
          </a:r>
          <a:r>
            <a:rPr lang="en-US" altLang="ko-KR" sz="1100" baseline="0">
              <a:latin typeface="고딕"/>
            </a:rPr>
            <a:t>: </a:t>
          </a:r>
          <a:r>
            <a:rPr lang="ko-KR" altLang="en-US" sz="1100" baseline="0">
              <a:latin typeface="고딕"/>
            </a:rPr>
            <a:t>식사시간</a:t>
          </a:r>
          <a:r>
            <a:rPr lang="en-US" altLang="ko-KR" sz="1100" baseline="0">
              <a:latin typeface="고딕"/>
            </a:rPr>
            <a:t>, </a:t>
          </a:r>
          <a:r>
            <a:rPr lang="ko-KR" altLang="en-US" sz="1100" baseline="0">
              <a:latin typeface="고딕"/>
            </a:rPr>
            <a:t>이동시간</a:t>
          </a:r>
          <a:r>
            <a:rPr lang="en-US" altLang="ko-KR" sz="1100" baseline="0">
              <a:latin typeface="고딕"/>
            </a:rPr>
            <a:t>, </a:t>
          </a:r>
          <a:r>
            <a:rPr lang="ko-KR" altLang="en-US" sz="1100" baseline="0">
              <a:latin typeface="고딕"/>
            </a:rPr>
            <a:t>업무외시간</a:t>
          </a:r>
          <a:r>
            <a:rPr lang="en-US" altLang="ko-KR" sz="1100" baseline="0">
              <a:latin typeface="고딕"/>
            </a:rPr>
            <a:t>}</a:t>
          </a:r>
          <a:r>
            <a:rPr lang="ko-KR" altLang="en-US" sz="1100" baseline="0">
              <a:latin typeface="고딕"/>
            </a:rPr>
            <a:t> </a:t>
          </a:r>
          <a:endParaRPr lang="en-US" altLang="ko-KR" sz="1100" baseline="0">
            <a:latin typeface="고딕"/>
          </a:endParaRPr>
        </a:p>
        <a:p>
          <a:r>
            <a:rPr lang="ko-KR" altLang="ko-KR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→ </a:t>
          </a:r>
          <a:r>
            <a:rPr lang="ko-KR" altLang="en-US" sz="1100">
              <a:latin typeface="고딕"/>
            </a:rPr>
            <a:t>제외할 시간을 입력하면 해당 시간이 자동 차감되어 신청 시간이 계산됨</a:t>
          </a:r>
          <a:endParaRPr lang="en-US" altLang="ko-KR" sz="1100">
            <a:latin typeface="고딕"/>
          </a:endParaRPr>
        </a:p>
        <a:p>
          <a:endParaRPr lang="en-US" altLang="ko-KR" sz="1100">
            <a:latin typeface="고딕"/>
          </a:endParaRPr>
        </a:p>
        <a:p>
          <a:r>
            <a:rPr lang="en-US" altLang="ko-KR" sz="1100" b="1">
              <a:latin typeface="고딕"/>
            </a:rPr>
            <a:t>3. </a:t>
          </a:r>
          <a:r>
            <a:rPr lang="ko-KR" altLang="en-US" sz="1100" b="1">
              <a:latin typeface="고딕"/>
            </a:rPr>
            <a:t>대체휴무 지급여부 기재 </a:t>
          </a:r>
          <a:endParaRPr lang="en-US" altLang="ko-KR" sz="1100" b="1">
            <a:latin typeface="고딕"/>
          </a:endParaRP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초과근로한 시간만큼 다른 근무일에 늦게 출근하거나 일찍 퇴근하는 등 대체휴무를 제공받은 경우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"O"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입력하고 대체휴무 시간 및 비고란 입력 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latin typeface="고딕"/>
            </a:rPr>
            <a:t>4.</a:t>
          </a:r>
          <a:r>
            <a:rPr lang="en-US" altLang="ko-KR" sz="1100" b="1" baseline="0">
              <a:latin typeface="고딕"/>
            </a:rPr>
            <a:t> </a:t>
          </a:r>
          <a:r>
            <a:rPr lang="ko-KR" altLang="en-US" sz="1100" b="1">
              <a:latin typeface="고딕"/>
            </a:rPr>
            <a:t>신청시간 </a:t>
          </a:r>
          <a:r>
            <a:rPr lang="en-US" altLang="ko-KR" sz="1100" b="1">
              <a:latin typeface="고딕"/>
            </a:rPr>
            <a:t>: </a:t>
          </a:r>
          <a:r>
            <a:rPr lang="ko-KR" altLang="en-US" sz="1100" b="1">
              <a:latin typeface="고딕"/>
            </a:rPr>
            <a:t>자동입력 </a:t>
          </a:r>
          <a:endParaRPr lang="en-US" altLang="ko-KR" sz="1100" b="1">
            <a:latin typeface="고딕"/>
          </a:endParaRPr>
        </a:p>
        <a:p>
          <a:r>
            <a:rPr lang="ko-KR" altLang="ko-KR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→</a:t>
          </a:r>
          <a:r>
            <a:rPr lang="en-US" altLang="ko-KR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실 근무 시간</a:t>
          </a:r>
          <a:r>
            <a:rPr lang="en-US" altLang="ko-KR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제외 시간</a:t>
          </a:r>
          <a:r>
            <a:rPr lang="en-US" altLang="ko-KR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대체휴무 지급여부까지</a:t>
          </a:r>
          <a:r>
            <a:rPr lang="ko-KR" altLang="en-US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작성하면 신청시간 자동입력 </a:t>
          </a:r>
          <a:endParaRPr lang="en-US" altLang="ko-KR" sz="1100">
            <a:latin typeface="고딕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대체휴무 지급여부 미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입력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 시간이 계산되지 않음 </a:t>
          </a:r>
          <a:endParaRPr lang="ko-KR" altLang="ko-KR">
            <a:effectLst/>
          </a:endParaRPr>
        </a:p>
        <a:p>
          <a:endParaRPr lang="ko-KR" altLang="en-US" sz="1100">
            <a:latin typeface="고딕"/>
          </a:endParaRPr>
        </a:p>
        <a:p>
          <a:endParaRPr lang="ko-KR" altLang="en-US" sz="1100" b="1">
            <a:solidFill>
              <a:schemeClr val="dk1"/>
            </a:solidFill>
            <a:latin typeface="고딕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B0A7-7944-4450-B4AF-2B4EAD7EC82D}">
  <sheetPr>
    <pageSetUpPr autoPageBreaks="0"/>
  </sheetPr>
  <dimension ref="A1:R48"/>
  <sheetViews>
    <sheetView showGridLines="0" tabSelected="1" zoomScale="85" zoomScaleNormal="85" workbookViewId="0">
      <selection activeCell="D17" sqref="D17"/>
    </sheetView>
  </sheetViews>
  <sheetFormatPr defaultRowHeight="15.75" x14ac:dyDescent="0.3"/>
  <cols>
    <col min="1" max="1" width="1.25" style="10" customWidth="1"/>
    <col min="2" max="2" width="5.25" style="10" bestFit="1" customWidth="1"/>
    <col min="3" max="3" width="13.875" style="10" bestFit="1" customWidth="1"/>
    <col min="4" max="4" width="25.625" style="10" customWidth="1"/>
    <col min="5" max="6" width="14.5" style="10" customWidth="1"/>
    <col min="7" max="7" width="11.125" style="10" bestFit="1" customWidth="1"/>
    <col min="8" max="8" width="8.75" style="10" bestFit="1" customWidth="1"/>
    <col min="9" max="11" width="9" style="10" bestFit="1" customWidth="1"/>
    <col min="12" max="13" width="11.625" style="39" bestFit="1" customWidth="1"/>
    <col min="14" max="14" width="12.375" style="10" bestFit="1" customWidth="1"/>
    <col min="15" max="15" width="12.375" style="10" customWidth="1"/>
    <col min="16" max="17" width="10.625" style="10" customWidth="1"/>
    <col min="18" max="19" width="9.625" style="10" customWidth="1"/>
    <col min="20" max="237" width="9" style="10"/>
    <col min="238" max="238" width="1.25" style="10" customWidth="1"/>
    <col min="239" max="239" width="7.25" style="10" customWidth="1"/>
    <col min="240" max="240" width="11.25" style="10" bestFit="1" customWidth="1"/>
    <col min="241" max="241" width="8.5" style="10" customWidth="1"/>
    <col min="242" max="242" width="17.375" style="10" customWidth="1"/>
    <col min="243" max="243" width="2.875" style="10" customWidth="1"/>
    <col min="244" max="244" width="4.25" style="10" customWidth="1"/>
    <col min="245" max="245" width="8.25" style="10" customWidth="1"/>
    <col min="246" max="246" width="4.625" style="10" customWidth="1"/>
    <col min="247" max="247" width="4.125" style="10" customWidth="1"/>
    <col min="248" max="248" width="8.625" style="10" customWidth="1"/>
    <col min="249" max="249" width="4.125" style="10" customWidth="1"/>
    <col min="250" max="250" width="4.625" style="10" customWidth="1"/>
    <col min="251" max="251" width="9.375" style="10" customWidth="1"/>
    <col min="252" max="252" width="1.375" style="10" customWidth="1"/>
    <col min="253" max="493" width="9" style="10"/>
    <col min="494" max="494" width="1.25" style="10" customWidth="1"/>
    <col min="495" max="495" width="7.25" style="10" customWidth="1"/>
    <col min="496" max="496" width="11.25" style="10" bestFit="1" customWidth="1"/>
    <col min="497" max="497" width="8.5" style="10" customWidth="1"/>
    <col min="498" max="498" width="17.375" style="10" customWidth="1"/>
    <col min="499" max="499" width="2.875" style="10" customWidth="1"/>
    <col min="500" max="500" width="4.25" style="10" customWidth="1"/>
    <col min="501" max="501" width="8.25" style="10" customWidth="1"/>
    <col min="502" max="502" width="4.625" style="10" customWidth="1"/>
    <col min="503" max="503" width="4.125" style="10" customWidth="1"/>
    <col min="504" max="504" width="8.625" style="10" customWidth="1"/>
    <col min="505" max="505" width="4.125" style="10" customWidth="1"/>
    <col min="506" max="506" width="4.625" style="10" customWidth="1"/>
    <col min="507" max="507" width="9.375" style="10" customWidth="1"/>
    <col min="508" max="508" width="1.375" style="10" customWidth="1"/>
    <col min="509" max="749" width="9" style="10"/>
    <col min="750" max="750" width="1.25" style="10" customWidth="1"/>
    <col min="751" max="751" width="7.25" style="10" customWidth="1"/>
    <col min="752" max="752" width="11.25" style="10" bestFit="1" customWidth="1"/>
    <col min="753" max="753" width="8.5" style="10" customWidth="1"/>
    <col min="754" max="754" width="17.375" style="10" customWidth="1"/>
    <col min="755" max="755" width="2.875" style="10" customWidth="1"/>
    <col min="756" max="756" width="4.25" style="10" customWidth="1"/>
    <col min="757" max="757" width="8.25" style="10" customWidth="1"/>
    <col min="758" max="758" width="4.625" style="10" customWidth="1"/>
    <col min="759" max="759" width="4.125" style="10" customWidth="1"/>
    <col min="760" max="760" width="8.625" style="10" customWidth="1"/>
    <col min="761" max="761" width="4.125" style="10" customWidth="1"/>
    <col min="762" max="762" width="4.625" style="10" customWidth="1"/>
    <col min="763" max="763" width="9.375" style="10" customWidth="1"/>
    <col min="764" max="764" width="1.375" style="10" customWidth="1"/>
    <col min="765" max="1005" width="9" style="10"/>
    <col min="1006" max="1006" width="1.25" style="10" customWidth="1"/>
    <col min="1007" max="1007" width="7.25" style="10" customWidth="1"/>
    <col min="1008" max="1008" width="11.25" style="10" bestFit="1" customWidth="1"/>
    <col min="1009" max="1009" width="8.5" style="10" customWidth="1"/>
    <col min="1010" max="1010" width="17.375" style="10" customWidth="1"/>
    <col min="1011" max="1011" width="2.875" style="10" customWidth="1"/>
    <col min="1012" max="1012" width="4.25" style="10" customWidth="1"/>
    <col min="1013" max="1013" width="8.25" style="10" customWidth="1"/>
    <col min="1014" max="1014" width="4.625" style="10" customWidth="1"/>
    <col min="1015" max="1015" width="4.125" style="10" customWidth="1"/>
    <col min="1016" max="1016" width="8.625" style="10" customWidth="1"/>
    <col min="1017" max="1017" width="4.125" style="10" customWidth="1"/>
    <col min="1018" max="1018" width="4.625" style="10" customWidth="1"/>
    <col min="1019" max="1019" width="9.375" style="10" customWidth="1"/>
    <col min="1020" max="1020" width="1.375" style="10" customWidth="1"/>
    <col min="1021" max="1261" width="9" style="10"/>
    <col min="1262" max="1262" width="1.25" style="10" customWidth="1"/>
    <col min="1263" max="1263" width="7.25" style="10" customWidth="1"/>
    <col min="1264" max="1264" width="11.25" style="10" bestFit="1" customWidth="1"/>
    <col min="1265" max="1265" width="8.5" style="10" customWidth="1"/>
    <col min="1266" max="1266" width="17.375" style="10" customWidth="1"/>
    <col min="1267" max="1267" width="2.875" style="10" customWidth="1"/>
    <col min="1268" max="1268" width="4.25" style="10" customWidth="1"/>
    <col min="1269" max="1269" width="8.25" style="10" customWidth="1"/>
    <col min="1270" max="1270" width="4.625" style="10" customWidth="1"/>
    <col min="1271" max="1271" width="4.125" style="10" customWidth="1"/>
    <col min="1272" max="1272" width="8.625" style="10" customWidth="1"/>
    <col min="1273" max="1273" width="4.125" style="10" customWidth="1"/>
    <col min="1274" max="1274" width="4.625" style="10" customWidth="1"/>
    <col min="1275" max="1275" width="9.375" style="10" customWidth="1"/>
    <col min="1276" max="1276" width="1.375" style="10" customWidth="1"/>
    <col min="1277" max="1517" width="9" style="10"/>
    <col min="1518" max="1518" width="1.25" style="10" customWidth="1"/>
    <col min="1519" max="1519" width="7.25" style="10" customWidth="1"/>
    <col min="1520" max="1520" width="11.25" style="10" bestFit="1" customWidth="1"/>
    <col min="1521" max="1521" width="8.5" style="10" customWidth="1"/>
    <col min="1522" max="1522" width="17.375" style="10" customWidth="1"/>
    <col min="1523" max="1523" width="2.875" style="10" customWidth="1"/>
    <col min="1524" max="1524" width="4.25" style="10" customWidth="1"/>
    <col min="1525" max="1525" width="8.25" style="10" customWidth="1"/>
    <col min="1526" max="1526" width="4.625" style="10" customWidth="1"/>
    <col min="1527" max="1527" width="4.125" style="10" customWidth="1"/>
    <col min="1528" max="1528" width="8.625" style="10" customWidth="1"/>
    <col min="1529" max="1529" width="4.125" style="10" customWidth="1"/>
    <col min="1530" max="1530" width="4.625" style="10" customWidth="1"/>
    <col min="1531" max="1531" width="9.375" style="10" customWidth="1"/>
    <col min="1532" max="1532" width="1.375" style="10" customWidth="1"/>
    <col min="1533" max="1773" width="9" style="10"/>
    <col min="1774" max="1774" width="1.25" style="10" customWidth="1"/>
    <col min="1775" max="1775" width="7.25" style="10" customWidth="1"/>
    <col min="1776" max="1776" width="11.25" style="10" bestFit="1" customWidth="1"/>
    <col min="1777" max="1777" width="8.5" style="10" customWidth="1"/>
    <col min="1778" max="1778" width="17.375" style="10" customWidth="1"/>
    <col min="1779" max="1779" width="2.875" style="10" customWidth="1"/>
    <col min="1780" max="1780" width="4.25" style="10" customWidth="1"/>
    <col min="1781" max="1781" width="8.25" style="10" customWidth="1"/>
    <col min="1782" max="1782" width="4.625" style="10" customWidth="1"/>
    <col min="1783" max="1783" width="4.125" style="10" customWidth="1"/>
    <col min="1784" max="1784" width="8.625" style="10" customWidth="1"/>
    <col min="1785" max="1785" width="4.125" style="10" customWidth="1"/>
    <col min="1786" max="1786" width="4.625" style="10" customWidth="1"/>
    <col min="1787" max="1787" width="9.375" style="10" customWidth="1"/>
    <col min="1788" max="1788" width="1.375" style="10" customWidth="1"/>
    <col min="1789" max="2029" width="9" style="10"/>
    <col min="2030" max="2030" width="1.25" style="10" customWidth="1"/>
    <col min="2031" max="2031" width="7.25" style="10" customWidth="1"/>
    <col min="2032" max="2032" width="11.25" style="10" bestFit="1" customWidth="1"/>
    <col min="2033" max="2033" width="8.5" style="10" customWidth="1"/>
    <col min="2034" max="2034" width="17.375" style="10" customWidth="1"/>
    <col min="2035" max="2035" width="2.875" style="10" customWidth="1"/>
    <col min="2036" max="2036" width="4.25" style="10" customWidth="1"/>
    <col min="2037" max="2037" width="8.25" style="10" customWidth="1"/>
    <col min="2038" max="2038" width="4.625" style="10" customWidth="1"/>
    <col min="2039" max="2039" width="4.125" style="10" customWidth="1"/>
    <col min="2040" max="2040" width="8.625" style="10" customWidth="1"/>
    <col min="2041" max="2041" width="4.125" style="10" customWidth="1"/>
    <col min="2042" max="2042" width="4.625" style="10" customWidth="1"/>
    <col min="2043" max="2043" width="9.375" style="10" customWidth="1"/>
    <col min="2044" max="2044" width="1.375" style="10" customWidth="1"/>
    <col min="2045" max="2285" width="9" style="10"/>
    <col min="2286" max="2286" width="1.25" style="10" customWidth="1"/>
    <col min="2287" max="2287" width="7.25" style="10" customWidth="1"/>
    <col min="2288" max="2288" width="11.25" style="10" bestFit="1" customWidth="1"/>
    <col min="2289" max="2289" width="8.5" style="10" customWidth="1"/>
    <col min="2290" max="2290" width="17.375" style="10" customWidth="1"/>
    <col min="2291" max="2291" width="2.875" style="10" customWidth="1"/>
    <col min="2292" max="2292" width="4.25" style="10" customWidth="1"/>
    <col min="2293" max="2293" width="8.25" style="10" customWidth="1"/>
    <col min="2294" max="2294" width="4.625" style="10" customWidth="1"/>
    <col min="2295" max="2295" width="4.125" style="10" customWidth="1"/>
    <col min="2296" max="2296" width="8.625" style="10" customWidth="1"/>
    <col min="2297" max="2297" width="4.125" style="10" customWidth="1"/>
    <col min="2298" max="2298" width="4.625" style="10" customWidth="1"/>
    <col min="2299" max="2299" width="9.375" style="10" customWidth="1"/>
    <col min="2300" max="2300" width="1.375" style="10" customWidth="1"/>
    <col min="2301" max="2541" width="9" style="10"/>
    <col min="2542" max="2542" width="1.25" style="10" customWidth="1"/>
    <col min="2543" max="2543" width="7.25" style="10" customWidth="1"/>
    <col min="2544" max="2544" width="11.25" style="10" bestFit="1" customWidth="1"/>
    <col min="2545" max="2545" width="8.5" style="10" customWidth="1"/>
    <col min="2546" max="2546" width="17.375" style="10" customWidth="1"/>
    <col min="2547" max="2547" width="2.875" style="10" customWidth="1"/>
    <col min="2548" max="2548" width="4.25" style="10" customWidth="1"/>
    <col min="2549" max="2549" width="8.25" style="10" customWidth="1"/>
    <col min="2550" max="2550" width="4.625" style="10" customWidth="1"/>
    <col min="2551" max="2551" width="4.125" style="10" customWidth="1"/>
    <col min="2552" max="2552" width="8.625" style="10" customWidth="1"/>
    <col min="2553" max="2553" width="4.125" style="10" customWidth="1"/>
    <col min="2554" max="2554" width="4.625" style="10" customWidth="1"/>
    <col min="2555" max="2555" width="9.375" style="10" customWidth="1"/>
    <col min="2556" max="2556" width="1.375" style="10" customWidth="1"/>
    <col min="2557" max="2797" width="9" style="10"/>
    <col min="2798" max="2798" width="1.25" style="10" customWidth="1"/>
    <col min="2799" max="2799" width="7.25" style="10" customWidth="1"/>
    <col min="2800" max="2800" width="11.25" style="10" bestFit="1" customWidth="1"/>
    <col min="2801" max="2801" width="8.5" style="10" customWidth="1"/>
    <col min="2802" max="2802" width="17.375" style="10" customWidth="1"/>
    <col min="2803" max="2803" width="2.875" style="10" customWidth="1"/>
    <col min="2804" max="2804" width="4.25" style="10" customWidth="1"/>
    <col min="2805" max="2805" width="8.25" style="10" customWidth="1"/>
    <col min="2806" max="2806" width="4.625" style="10" customWidth="1"/>
    <col min="2807" max="2807" width="4.125" style="10" customWidth="1"/>
    <col min="2808" max="2808" width="8.625" style="10" customWidth="1"/>
    <col min="2809" max="2809" width="4.125" style="10" customWidth="1"/>
    <col min="2810" max="2810" width="4.625" style="10" customWidth="1"/>
    <col min="2811" max="2811" width="9.375" style="10" customWidth="1"/>
    <col min="2812" max="2812" width="1.375" style="10" customWidth="1"/>
    <col min="2813" max="3053" width="9" style="10"/>
    <col min="3054" max="3054" width="1.25" style="10" customWidth="1"/>
    <col min="3055" max="3055" width="7.25" style="10" customWidth="1"/>
    <col min="3056" max="3056" width="11.25" style="10" bestFit="1" customWidth="1"/>
    <col min="3057" max="3057" width="8.5" style="10" customWidth="1"/>
    <col min="3058" max="3058" width="17.375" style="10" customWidth="1"/>
    <col min="3059" max="3059" width="2.875" style="10" customWidth="1"/>
    <col min="3060" max="3060" width="4.25" style="10" customWidth="1"/>
    <col min="3061" max="3061" width="8.25" style="10" customWidth="1"/>
    <col min="3062" max="3062" width="4.625" style="10" customWidth="1"/>
    <col min="3063" max="3063" width="4.125" style="10" customWidth="1"/>
    <col min="3064" max="3064" width="8.625" style="10" customWidth="1"/>
    <col min="3065" max="3065" width="4.125" style="10" customWidth="1"/>
    <col min="3066" max="3066" width="4.625" style="10" customWidth="1"/>
    <col min="3067" max="3067" width="9.375" style="10" customWidth="1"/>
    <col min="3068" max="3068" width="1.375" style="10" customWidth="1"/>
    <col min="3069" max="3309" width="9" style="10"/>
    <col min="3310" max="3310" width="1.25" style="10" customWidth="1"/>
    <col min="3311" max="3311" width="7.25" style="10" customWidth="1"/>
    <col min="3312" max="3312" width="11.25" style="10" bestFit="1" customWidth="1"/>
    <col min="3313" max="3313" width="8.5" style="10" customWidth="1"/>
    <col min="3314" max="3314" width="17.375" style="10" customWidth="1"/>
    <col min="3315" max="3315" width="2.875" style="10" customWidth="1"/>
    <col min="3316" max="3316" width="4.25" style="10" customWidth="1"/>
    <col min="3317" max="3317" width="8.25" style="10" customWidth="1"/>
    <col min="3318" max="3318" width="4.625" style="10" customWidth="1"/>
    <col min="3319" max="3319" width="4.125" style="10" customWidth="1"/>
    <col min="3320" max="3320" width="8.625" style="10" customWidth="1"/>
    <col min="3321" max="3321" width="4.125" style="10" customWidth="1"/>
    <col min="3322" max="3322" width="4.625" style="10" customWidth="1"/>
    <col min="3323" max="3323" width="9.375" style="10" customWidth="1"/>
    <col min="3324" max="3324" width="1.375" style="10" customWidth="1"/>
    <col min="3325" max="3565" width="9" style="10"/>
    <col min="3566" max="3566" width="1.25" style="10" customWidth="1"/>
    <col min="3567" max="3567" width="7.25" style="10" customWidth="1"/>
    <col min="3568" max="3568" width="11.25" style="10" bestFit="1" customWidth="1"/>
    <col min="3569" max="3569" width="8.5" style="10" customWidth="1"/>
    <col min="3570" max="3570" width="17.375" style="10" customWidth="1"/>
    <col min="3571" max="3571" width="2.875" style="10" customWidth="1"/>
    <col min="3572" max="3572" width="4.25" style="10" customWidth="1"/>
    <col min="3573" max="3573" width="8.25" style="10" customWidth="1"/>
    <col min="3574" max="3574" width="4.625" style="10" customWidth="1"/>
    <col min="3575" max="3575" width="4.125" style="10" customWidth="1"/>
    <col min="3576" max="3576" width="8.625" style="10" customWidth="1"/>
    <col min="3577" max="3577" width="4.125" style="10" customWidth="1"/>
    <col min="3578" max="3578" width="4.625" style="10" customWidth="1"/>
    <col min="3579" max="3579" width="9.375" style="10" customWidth="1"/>
    <col min="3580" max="3580" width="1.375" style="10" customWidth="1"/>
    <col min="3581" max="3821" width="9" style="10"/>
    <col min="3822" max="3822" width="1.25" style="10" customWidth="1"/>
    <col min="3823" max="3823" width="7.25" style="10" customWidth="1"/>
    <col min="3824" max="3824" width="11.25" style="10" bestFit="1" customWidth="1"/>
    <col min="3825" max="3825" width="8.5" style="10" customWidth="1"/>
    <col min="3826" max="3826" width="17.375" style="10" customWidth="1"/>
    <col min="3827" max="3827" width="2.875" style="10" customWidth="1"/>
    <col min="3828" max="3828" width="4.25" style="10" customWidth="1"/>
    <col min="3829" max="3829" width="8.25" style="10" customWidth="1"/>
    <col min="3830" max="3830" width="4.625" style="10" customWidth="1"/>
    <col min="3831" max="3831" width="4.125" style="10" customWidth="1"/>
    <col min="3832" max="3832" width="8.625" style="10" customWidth="1"/>
    <col min="3833" max="3833" width="4.125" style="10" customWidth="1"/>
    <col min="3834" max="3834" width="4.625" style="10" customWidth="1"/>
    <col min="3835" max="3835" width="9.375" style="10" customWidth="1"/>
    <col min="3836" max="3836" width="1.375" style="10" customWidth="1"/>
    <col min="3837" max="4077" width="9" style="10"/>
    <col min="4078" max="4078" width="1.25" style="10" customWidth="1"/>
    <col min="4079" max="4079" width="7.25" style="10" customWidth="1"/>
    <col min="4080" max="4080" width="11.25" style="10" bestFit="1" customWidth="1"/>
    <col min="4081" max="4081" width="8.5" style="10" customWidth="1"/>
    <col min="4082" max="4082" width="17.375" style="10" customWidth="1"/>
    <col min="4083" max="4083" width="2.875" style="10" customWidth="1"/>
    <col min="4084" max="4084" width="4.25" style="10" customWidth="1"/>
    <col min="4085" max="4085" width="8.25" style="10" customWidth="1"/>
    <col min="4086" max="4086" width="4.625" style="10" customWidth="1"/>
    <col min="4087" max="4087" width="4.125" style="10" customWidth="1"/>
    <col min="4088" max="4088" width="8.625" style="10" customWidth="1"/>
    <col min="4089" max="4089" width="4.125" style="10" customWidth="1"/>
    <col min="4090" max="4090" width="4.625" style="10" customWidth="1"/>
    <col min="4091" max="4091" width="9.375" style="10" customWidth="1"/>
    <col min="4092" max="4092" width="1.375" style="10" customWidth="1"/>
    <col min="4093" max="4333" width="9" style="10"/>
    <col min="4334" max="4334" width="1.25" style="10" customWidth="1"/>
    <col min="4335" max="4335" width="7.25" style="10" customWidth="1"/>
    <col min="4336" max="4336" width="11.25" style="10" bestFit="1" customWidth="1"/>
    <col min="4337" max="4337" width="8.5" style="10" customWidth="1"/>
    <col min="4338" max="4338" width="17.375" style="10" customWidth="1"/>
    <col min="4339" max="4339" width="2.875" style="10" customWidth="1"/>
    <col min="4340" max="4340" width="4.25" style="10" customWidth="1"/>
    <col min="4341" max="4341" width="8.25" style="10" customWidth="1"/>
    <col min="4342" max="4342" width="4.625" style="10" customWidth="1"/>
    <col min="4343" max="4343" width="4.125" style="10" customWidth="1"/>
    <col min="4344" max="4344" width="8.625" style="10" customWidth="1"/>
    <col min="4345" max="4345" width="4.125" style="10" customWidth="1"/>
    <col min="4346" max="4346" width="4.625" style="10" customWidth="1"/>
    <col min="4347" max="4347" width="9.375" style="10" customWidth="1"/>
    <col min="4348" max="4348" width="1.375" style="10" customWidth="1"/>
    <col min="4349" max="4589" width="9" style="10"/>
    <col min="4590" max="4590" width="1.25" style="10" customWidth="1"/>
    <col min="4591" max="4591" width="7.25" style="10" customWidth="1"/>
    <col min="4592" max="4592" width="11.25" style="10" bestFit="1" customWidth="1"/>
    <col min="4593" max="4593" width="8.5" style="10" customWidth="1"/>
    <col min="4594" max="4594" width="17.375" style="10" customWidth="1"/>
    <col min="4595" max="4595" width="2.875" style="10" customWidth="1"/>
    <col min="4596" max="4596" width="4.25" style="10" customWidth="1"/>
    <col min="4597" max="4597" width="8.25" style="10" customWidth="1"/>
    <col min="4598" max="4598" width="4.625" style="10" customWidth="1"/>
    <col min="4599" max="4599" width="4.125" style="10" customWidth="1"/>
    <col min="4600" max="4600" width="8.625" style="10" customWidth="1"/>
    <col min="4601" max="4601" width="4.125" style="10" customWidth="1"/>
    <col min="4602" max="4602" width="4.625" style="10" customWidth="1"/>
    <col min="4603" max="4603" width="9.375" style="10" customWidth="1"/>
    <col min="4604" max="4604" width="1.375" style="10" customWidth="1"/>
    <col min="4605" max="4845" width="9" style="10"/>
    <col min="4846" max="4846" width="1.25" style="10" customWidth="1"/>
    <col min="4847" max="4847" width="7.25" style="10" customWidth="1"/>
    <col min="4848" max="4848" width="11.25" style="10" bestFit="1" customWidth="1"/>
    <col min="4849" max="4849" width="8.5" style="10" customWidth="1"/>
    <col min="4850" max="4850" width="17.375" style="10" customWidth="1"/>
    <col min="4851" max="4851" width="2.875" style="10" customWidth="1"/>
    <col min="4852" max="4852" width="4.25" style="10" customWidth="1"/>
    <col min="4853" max="4853" width="8.25" style="10" customWidth="1"/>
    <col min="4854" max="4854" width="4.625" style="10" customWidth="1"/>
    <col min="4855" max="4855" width="4.125" style="10" customWidth="1"/>
    <col min="4856" max="4856" width="8.625" style="10" customWidth="1"/>
    <col min="4857" max="4857" width="4.125" style="10" customWidth="1"/>
    <col min="4858" max="4858" width="4.625" style="10" customWidth="1"/>
    <col min="4859" max="4859" width="9.375" style="10" customWidth="1"/>
    <col min="4860" max="4860" width="1.375" style="10" customWidth="1"/>
    <col min="4861" max="5101" width="9" style="10"/>
    <col min="5102" max="5102" width="1.25" style="10" customWidth="1"/>
    <col min="5103" max="5103" width="7.25" style="10" customWidth="1"/>
    <col min="5104" max="5104" width="11.25" style="10" bestFit="1" customWidth="1"/>
    <col min="5105" max="5105" width="8.5" style="10" customWidth="1"/>
    <col min="5106" max="5106" width="17.375" style="10" customWidth="1"/>
    <col min="5107" max="5107" width="2.875" style="10" customWidth="1"/>
    <col min="5108" max="5108" width="4.25" style="10" customWidth="1"/>
    <col min="5109" max="5109" width="8.25" style="10" customWidth="1"/>
    <col min="5110" max="5110" width="4.625" style="10" customWidth="1"/>
    <col min="5111" max="5111" width="4.125" style="10" customWidth="1"/>
    <col min="5112" max="5112" width="8.625" style="10" customWidth="1"/>
    <col min="5113" max="5113" width="4.125" style="10" customWidth="1"/>
    <col min="5114" max="5114" width="4.625" style="10" customWidth="1"/>
    <col min="5115" max="5115" width="9.375" style="10" customWidth="1"/>
    <col min="5116" max="5116" width="1.375" style="10" customWidth="1"/>
    <col min="5117" max="5357" width="9" style="10"/>
    <col min="5358" max="5358" width="1.25" style="10" customWidth="1"/>
    <col min="5359" max="5359" width="7.25" style="10" customWidth="1"/>
    <col min="5360" max="5360" width="11.25" style="10" bestFit="1" customWidth="1"/>
    <col min="5361" max="5361" width="8.5" style="10" customWidth="1"/>
    <col min="5362" max="5362" width="17.375" style="10" customWidth="1"/>
    <col min="5363" max="5363" width="2.875" style="10" customWidth="1"/>
    <col min="5364" max="5364" width="4.25" style="10" customWidth="1"/>
    <col min="5365" max="5365" width="8.25" style="10" customWidth="1"/>
    <col min="5366" max="5366" width="4.625" style="10" customWidth="1"/>
    <col min="5367" max="5367" width="4.125" style="10" customWidth="1"/>
    <col min="5368" max="5368" width="8.625" style="10" customWidth="1"/>
    <col min="5369" max="5369" width="4.125" style="10" customWidth="1"/>
    <col min="5370" max="5370" width="4.625" style="10" customWidth="1"/>
    <col min="5371" max="5371" width="9.375" style="10" customWidth="1"/>
    <col min="5372" max="5372" width="1.375" style="10" customWidth="1"/>
    <col min="5373" max="5613" width="9" style="10"/>
    <col min="5614" max="5614" width="1.25" style="10" customWidth="1"/>
    <col min="5615" max="5615" width="7.25" style="10" customWidth="1"/>
    <col min="5616" max="5616" width="11.25" style="10" bestFit="1" customWidth="1"/>
    <col min="5617" max="5617" width="8.5" style="10" customWidth="1"/>
    <col min="5618" max="5618" width="17.375" style="10" customWidth="1"/>
    <col min="5619" max="5619" width="2.875" style="10" customWidth="1"/>
    <col min="5620" max="5620" width="4.25" style="10" customWidth="1"/>
    <col min="5621" max="5621" width="8.25" style="10" customWidth="1"/>
    <col min="5622" max="5622" width="4.625" style="10" customWidth="1"/>
    <col min="5623" max="5623" width="4.125" style="10" customWidth="1"/>
    <col min="5624" max="5624" width="8.625" style="10" customWidth="1"/>
    <col min="5625" max="5625" width="4.125" style="10" customWidth="1"/>
    <col min="5626" max="5626" width="4.625" style="10" customWidth="1"/>
    <col min="5627" max="5627" width="9.375" style="10" customWidth="1"/>
    <col min="5628" max="5628" width="1.375" style="10" customWidth="1"/>
    <col min="5629" max="5869" width="9" style="10"/>
    <col min="5870" max="5870" width="1.25" style="10" customWidth="1"/>
    <col min="5871" max="5871" width="7.25" style="10" customWidth="1"/>
    <col min="5872" max="5872" width="11.25" style="10" bestFit="1" customWidth="1"/>
    <col min="5873" max="5873" width="8.5" style="10" customWidth="1"/>
    <col min="5874" max="5874" width="17.375" style="10" customWidth="1"/>
    <col min="5875" max="5875" width="2.875" style="10" customWidth="1"/>
    <col min="5876" max="5876" width="4.25" style="10" customWidth="1"/>
    <col min="5877" max="5877" width="8.25" style="10" customWidth="1"/>
    <col min="5878" max="5878" width="4.625" style="10" customWidth="1"/>
    <col min="5879" max="5879" width="4.125" style="10" customWidth="1"/>
    <col min="5880" max="5880" width="8.625" style="10" customWidth="1"/>
    <col min="5881" max="5881" width="4.125" style="10" customWidth="1"/>
    <col min="5882" max="5882" width="4.625" style="10" customWidth="1"/>
    <col min="5883" max="5883" width="9.375" style="10" customWidth="1"/>
    <col min="5884" max="5884" width="1.375" style="10" customWidth="1"/>
    <col min="5885" max="6125" width="9" style="10"/>
    <col min="6126" max="6126" width="1.25" style="10" customWidth="1"/>
    <col min="6127" max="6127" width="7.25" style="10" customWidth="1"/>
    <col min="6128" max="6128" width="11.25" style="10" bestFit="1" customWidth="1"/>
    <col min="6129" max="6129" width="8.5" style="10" customWidth="1"/>
    <col min="6130" max="6130" width="17.375" style="10" customWidth="1"/>
    <col min="6131" max="6131" width="2.875" style="10" customWidth="1"/>
    <col min="6132" max="6132" width="4.25" style="10" customWidth="1"/>
    <col min="6133" max="6133" width="8.25" style="10" customWidth="1"/>
    <col min="6134" max="6134" width="4.625" style="10" customWidth="1"/>
    <col min="6135" max="6135" width="4.125" style="10" customWidth="1"/>
    <col min="6136" max="6136" width="8.625" style="10" customWidth="1"/>
    <col min="6137" max="6137" width="4.125" style="10" customWidth="1"/>
    <col min="6138" max="6138" width="4.625" style="10" customWidth="1"/>
    <col min="6139" max="6139" width="9.375" style="10" customWidth="1"/>
    <col min="6140" max="6140" width="1.375" style="10" customWidth="1"/>
    <col min="6141" max="6381" width="9" style="10"/>
    <col min="6382" max="6382" width="1.25" style="10" customWidth="1"/>
    <col min="6383" max="6383" width="7.25" style="10" customWidth="1"/>
    <col min="6384" max="6384" width="11.25" style="10" bestFit="1" customWidth="1"/>
    <col min="6385" max="6385" width="8.5" style="10" customWidth="1"/>
    <col min="6386" max="6386" width="17.375" style="10" customWidth="1"/>
    <col min="6387" max="6387" width="2.875" style="10" customWidth="1"/>
    <col min="6388" max="6388" width="4.25" style="10" customWidth="1"/>
    <col min="6389" max="6389" width="8.25" style="10" customWidth="1"/>
    <col min="6390" max="6390" width="4.625" style="10" customWidth="1"/>
    <col min="6391" max="6391" width="4.125" style="10" customWidth="1"/>
    <col min="6392" max="6392" width="8.625" style="10" customWidth="1"/>
    <col min="6393" max="6393" width="4.125" style="10" customWidth="1"/>
    <col min="6394" max="6394" width="4.625" style="10" customWidth="1"/>
    <col min="6395" max="6395" width="9.375" style="10" customWidth="1"/>
    <col min="6396" max="6396" width="1.375" style="10" customWidth="1"/>
    <col min="6397" max="6637" width="9" style="10"/>
    <col min="6638" max="6638" width="1.25" style="10" customWidth="1"/>
    <col min="6639" max="6639" width="7.25" style="10" customWidth="1"/>
    <col min="6640" max="6640" width="11.25" style="10" bestFit="1" customWidth="1"/>
    <col min="6641" max="6641" width="8.5" style="10" customWidth="1"/>
    <col min="6642" max="6642" width="17.375" style="10" customWidth="1"/>
    <col min="6643" max="6643" width="2.875" style="10" customWidth="1"/>
    <col min="6644" max="6644" width="4.25" style="10" customWidth="1"/>
    <col min="6645" max="6645" width="8.25" style="10" customWidth="1"/>
    <col min="6646" max="6646" width="4.625" style="10" customWidth="1"/>
    <col min="6647" max="6647" width="4.125" style="10" customWidth="1"/>
    <col min="6648" max="6648" width="8.625" style="10" customWidth="1"/>
    <col min="6649" max="6649" width="4.125" style="10" customWidth="1"/>
    <col min="6650" max="6650" width="4.625" style="10" customWidth="1"/>
    <col min="6651" max="6651" width="9.375" style="10" customWidth="1"/>
    <col min="6652" max="6652" width="1.375" style="10" customWidth="1"/>
    <col min="6653" max="6893" width="9" style="10"/>
    <col min="6894" max="6894" width="1.25" style="10" customWidth="1"/>
    <col min="6895" max="6895" width="7.25" style="10" customWidth="1"/>
    <col min="6896" max="6896" width="11.25" style="10" bestFit="1" customWidth="1"/>
    <col min="6897" max="6897" width="8.5" style="10" customWidth="1"/>
    <col min="6898" max="6898" width="17.375" style="10" customWidth="1"/>
    <col min="6899" max="6899" width="2.875" style="10" customWidth="1"/>
    <col min="6900" max="6900" width="4.25" style="10" customWidth="1"/>
    <col min="6901" max="6901" width="8.25" style="10" customWidth="1"/>
    <col min="6902" max="6902" width="4.625" style="10" customWidth="1"/>
    <col min="6903" max="6903" width="4.125" style="10" customWidth="1"/>
    <col min="6904" max="6904" width="8.625" style="10" customWidth="1"/>
    <col min="6905" max="6905" width="4.125" style="10" customWidth="1"/>
    <col min="6906" max="6906" width="4.625" style="10" customWidth="1"/>
    <col min="6907" max="6907" width="9.375" style="10" customWidth="1"/>
    <col min="6908" max="6908" width="1.375" style="10" customWidth="1"/>
    <col min="6909" max="7149" width="9" style="10"/>
    <col min="7150" max="7150" width="1.25" style="10" customWidth="1"/>
    <col min="7151" max="7151" width="7.25" style="10" customWidth="1"/>
    <col min="7152" max="7152" width="11.25" style="10" bestFit="1" customWidth="1"/>
    <col min="7153" max="7153" width="8.5" style="10" customWidth="1"/>
    <col min="7154" max="7154" width="17.375" style="10" customWidth="1"/>
    <col min="7155" max="7155" width="2.875" style="10" customWidth="1"/>
    <col min="7156" max="7156" width="4.25" style="10" customWidth="1"/>
    <col min="7157" max="7157" width="8.25" style="10" customWidth="1"/>
    <col min="7158" max="7158" width="4.625" style="10" customWidth="1"/>
    <col min="7159" max="7159" width="4.125" style="10" customWidth="1"/>
    <col min="7160" max="7160" width="8.625" style="10" customWidth="1"/>
    <col min="7161" max="7161" width="4.125" style="10" customWidth="1"/>
    <col min="7162" max="7162" width="4.625" style="10" customWidth="1"/>
    <col min="7163" max="7163" width="9.375" style="10" customWidth="1"/>
    <col min="7164" max="7164" width="1.375" style="10" customWidth="1"/>
    <col min="7165" max="7405" width="9" style="10"/>
    <col min="7406" max="7406" width="1.25" style="10" customWidth="1"/>
    <col min="7407" max="7407" width="7.25" style="10" customWidth="1"/>
    <col min="7408" max="7408" width="11.25" style="10" bestFit="1" customWidth="1"/>
    <col min="7409" max="7409" width="8.5" style="10" customWidth="1"/>
    <col min="7410" max="7410" width="17.375" style="10" customWidth="1"/>
    <col min="7411" max="7411" width="2.875" style="10" customWidth="1"/>
    <col min="7412" max="7412" width="4.25" style="10" customWidth="1"/>
    <col min="7413" max="7413" width="8.25" style="10" customWidth="1"/>
    <col min="7414" max="7414" width="4.625" style="10" customWidth="1"/>
    <col min="7415" max="7415" width="4.125" style="10" customWidth="1"/>
    <col min="7416" max="7416" width="8.625" style="10" customWidth="1"/>
    <col min="7417" max="7417" width="4.125" style="10" customWidth="1"/>
    <col min="7418" max="7418" width="4.625" style="10" customWidth="1"/>
    <col min="7419" max="7419" width="9.375" style="10" customWidth="1"/>
    <col min="7420" max="7420" width="1.375" style="10" customWidth="1"/>
    <col min="7421" max="7661" width="9" style="10"/>
    <col min="7662" max="7662" width="1.25" style="10" customWidth="1"/>
    <col min="7663" max="7663" width="7.25" style="10" customWidth="1"/>
    <col min="7664" max="7664" width="11.25" style="10" bestFit="1" customWidth="1"/>
    <col min="7665" max="7665" width="8.5" style="10" customWidth="1"/>
    <col min="7666" max="7666" width="17.375" style="10" customWidth="1"/>
    <col min="7667" max="7667" width="2.875" style="10" customWidth="1"/>
    <col min="7668" max="7668" width="4.25" style="10" customWidth="1"/>
    <col min="7669" max="7669" width="8.25" style="10" customWidth="1"/>
    <col min="7670" max="7670" width="4.625" style="10" customWidth="1"/>
    <col min="7671" max="7671" width="4.125" style="10" customWidth="1"/>
    <col min="7672" max="7672" width="8.625" style="10" customWidth="1"/>
    <col min="7673" max="7673" width="4.125" style="10" customWidth="1"/>
    <col min="7674" max="7674" width="4.625" style="10" customWidth="1"/>
    <col min="7675" max="7675" width="9.375" style="10" customWidth="1"/>
    <col min="7676" max="7676" width="1.375" style="10" customWidth="1"/>
    <col min="7677" max="7917" width="9" style="10"/>
    <col min="7918" max="7918" width="1.25" style="10" customWidth="1"/>
    <col min="7919" max="7919" width="7.25" style="10" customWidth="1"/>
    <col min="7920" max="7920" width="11.25" style="10" bestFit="1" customWidth="1"/>
    <col min="7921" max="7921" width="8.5" style="10" customWidth="1"/>
    <col min="7922" max="7922" width="17.375" style="10" customWidth="1"/>
    <col min="7923" max="7923" width="2.875" style="10" customWidth="1"/>
    <col min="7924" max="7924" width="4.25" style="10" customWidth="1"/>
    <col min="7925" max="7925" width="8.25" style="10" customWidth="1"/>
    <col min="7926" max="7926" width="4.625" style="10" customWidth="1"/>
    <col min="7927" max="7927" width="4.125" style="10" customWidth="1"/>
    <col min="7928" max="7928" width="8.625" style="10" customWidth="1"/>
    <col min="7929" max="7929" width="4.125" style="10" customWidth="1"/>
    <col min="7930" max="7930" width="4.625" style="10" customWidth="1"/>
    <col min="7931" max="7931" width="9.375" style="10" customWidth="1"/>
    <col min="7932" max="7932" width="1.375" style="10" customWidth="1"/>
    <col min="7933" max="8173" width="9" style="10"/>
    <col min="8174" max="8174" width="1.25" style="10" customWidth="1"/>
    <col min="8175" max="8175" width="7.25" style="10" customWidth="1"/>
    <col min="8176" max="8176" width="11.25" style="10" bestFit="1" customWidth="1"/>
    <col min="8177" max="8177" width="8.5" style="10" customWidth="1"/>
    <col min="8178" max="8178" width="17.375" style="10" customWidth="1"/>
    <col min="8179" max="8179" width="2.875" style="10" customWidth="1"/>
    <col min="8180" max="8180" width="4.25" style="10" customWidth="1"/>
    <col min="8181" max="8181" width="8.25" style="10" customWidth="1"/>
    <col min="8182" max="8182" width="4.625" style="10" customWidth="1"/>
    <col min="8183" max="8183" width="4.125" style="10" customWidth="1"/>
    <col min="8184" max="8184" width="8.625" style="10" customWidth="1"/>
    <col min="8185" max="8185" width="4.125" style="10" customWidth="1"/>
    <col min="8186" max="8186" width="4.625" style="10" customWidth="1"/>
    <col min="8187" max="8187" width="9.375" style="10" customWidth="1"/>
    <col min="8188" max="8188" width="1.375" style="10" customWidth="1"/>
    <col min="8189" max="8429" width="9" style="10"/>
    <col min="8430" max="8430" width="1.25" style="10" customWidth="1"/>
    <col min="8431" max="8431" width="7.25" style="10" customWidth="1"/>
    <col min="8432" max="8432" width="11.25" style="10" bestFit="1" customWidth="1"/>
    <col min="8433" max="8433" width="8.5" style="10" customWidth="1"/>
    <col min="8434" max="8434" width="17.375" style="10" customWidth="1"/>
    <col min="8435" max="8435" width="2.875" style="10" customWidth="1"/>
    <col min="8436" max="8436" width="4.25" style="10" customWidth="1"/>
    <col min="8437" max="8437" width="8.25" style="10" customWidth="1"/>
    <col min="8438" max="8438" width="4.625" style="10" customWidth="1"/>
    <col min="8439" max="8439" width="4.125" style="10" customWidth="1"/>
    <col min="8440" max="8440" width="8.625" style="10" customWidth="1"/>
    <col min="8441" max="8441" width="4.125" style="10" customWidth="1"/>
    <col min="8442" max="8442" width="4.625" style="10" customWidth="1"/>
    <col min="8443" max="8443" width="9.375" style="10" customWidth="1"/>
    <col min="8444" max="8444" width="1.375" style="10" customWidth="1"/>
    <col min="8445" max="8685" width="9" style="10"/>
    <col min="8686" max="8686" width="1.25" style="10" customWidth="1"/>
    <col min="8687" max="8687" width="7.25" style="10" customWidth="1"/>
    <col min="8688" max="8688" width="11.25" style="10" bestFit="1" customWidth="1"/>
    <col min="8689" max="8689" width="8.5" style="10" customWidth="1"/>
    <col min="8690" max="8690" width="17.375" style="10" customWidth="1"/>
    <col min="8691" max="8691" width="2.875" style="10" customWidth="1"/>
    <col min="8692" max="8692" width="4.25" style="10" customWidth="1"/>
    <col min="8693" max="8693" width="8.25" style="10" customWidth="1"/>
    <col min="8694" max="8694" width="4.625" style="10" customWidth="1"/>
    <col min="8695" max="8695" width="4.125" style="10" customWidth="1"/>
    <col min="8696" max="8696" width="8.625" style="10" customWidth="1"/>
    <col min="8697" max="8697" width="4.125" style="10" customWidth="1"/>
    <col min="8698" max="8698" width="4.625" style="10" customWidth="1"/>
    <col min="8699" max="8699" width="9.375" style="10" customWidth="1"/>
    <col min="8700" max="8700" width="1.375" style="10" customWidth="1"/>
    <col min="8701" max="8941" width="9" style="10"/>
    <col min="8942" max="8942" width="1.25" style="10" customWidth="1"/>
    <col min="8943" max="8943" width="7.25" style="10" customWidth="1"/>
    <col min="8944" max="8944" width="11.25" style="10" bestFit="1" customWidth="1"/>
    <col min="8945" max="8945" width="8.5" style="10" customWidth="1"/>
    <col min="8946" max="8946" width="17.375" style="10" customWidth="1"/>
    <col min="8947" max="8947" width="2.875" style="10" customWidth="1"/>
    <col min="8948" max="8948" width="4.25" style="10" customWidth="1"/>
    <col min="8949" max="8949" width="8.25" style="10" customWidth="1"/>
    <col min="8950" max="8950" width="4.625" style="10" customWidth="1"/>
    <col min="8951" max="8951" width="4.125" style="10" customWidth="1"/>
    <col min="8952" max="8952" width="8.625" style="10" customWidth="1"/>
    <col min="8953" max="8953" width="4.125" style="10" customWidth="1"/>
    <col min="8954" max="8954" width="4.625" style="10" customWidth="1"/>
    <col min="8955" max="8955" width="9.375" style="10" customWidth="1"/>
    <col min="8956" max="8956" width="1.375" style="10" customWidth="1"/>
    <col min="8957" max="9197" width="9" style="10"/>
    <col min="9198" max="9198" width="1.25" style="10" customWidth="1"/>
    <col min="9199" max="9199" width="7.25" style="10" customWidth="1"/>
    <col min="9200" max="9200" width="11.25" style="10" bestFit="1" customWidth="1"/>
    <col min="9201" max="9201" width="8.5" style="10" customWidth="1"/>
    <col min="9202" max="9202" width="17.375" style="10" customWidth="1"/>
    <col min="9203" max="9203" width="2.875" style="10" customWidth="1"/>
    <col min="9204" max="9204" width="4.25" style="10" customWidth="1"/>
    <col min="9205" max="9205" width="8.25" style="10" customWidth="1"/>
    <col min="9206" max="9206" width="4.625" style="10" customWidth="1"/>
    <col min="9207" max="9207" width="4.125" style="10" customWidth="1"/>
    <col min="9208" max="9208" width="8.625" style="10" customWidth="1"/>
    <col min="9209" max="9209" width="4.125" style="10" customWidth="1"/>
    <col min="9210" max="9210" width="4.625" style="10" customWidth="1"/>
    <col min="9211" max="9211" width="9.375" style="10" customWidth="1"/>
    <col min="9212" max="9212" width="1.375" style="10" customWidth="1"/>
    <col min="9213" max="9453" width="9" style="10"/>
    <col min="9454" max="9454" width="1.25" style="10" customWidth="1"/>
    <col min="9455" max="9455" width="7.25" style="10" customWidth="1"/>
    <col min="9456" max="9456" width="11.25" style="10" bestFit="1" customWidth="1"/>
    <col min="9457" max="9457" width="8.5" style="10" customWidth="1"/>
    <col min="9458" max="9458" width="17.375" style="10" customWidth="1"/>
    <col min="9459" max="9459" width="2.875" style="10" customWidth="1"/>
    <col min="9460" max="9460" width="4.25" style="10" customWidth="1"/>
    <col min="9461" max="9461" width="8.25" style="10" customWidth="1"/>
    <col min="9462" max="9462" width="4.625" style="10" customWidth="1"/>
    <col min="9463" max="9463" width="4.125" style="10" customWidth="1"/>
    <col min="9464" max="9464" width="8.625" style="10" customWidth="1"/>
    <col min="9465" max="9465" width="4.125" style="10" customWidth="1"/>
    <col min="9466" max="9466" width="4.625" style="10" customWidth="1"/>
    <col min="9467" max="9467" width="9.375" style="10" customWidth="1"/>
    <col min="9468" max="9468" width="1.375" style="10" customWidth="1"/>
    <col min="9469" max="9709" width="9" style="10"/>
    <col min="9710" max="9710" width="1.25" style="10" customWidth="1"/>
    <col min="9711" max="9711" width="7.25" style="10" customWidth="1"/>
    <col min="9712" max="9712" width="11.25" style="10" bestFit="1" customWidth="1"/>
    <col min="9713" max="9713" width="8.5" style="10" customWidth="1"/>
    <col min="9714" max="9714" width="17.375" style="10" customWidth="1"/>
    <col min="9715" max="9715" width="2.875" style="10" customWidth="1"/>
    <col min="9716" max="9716" width="4.25" style="10" customWidth="1"/>
    <col min="9717" max="9717" width="8.25" style="10" customWidth="1"/>
    <col min="9718" max="9718" width="4.625" style="10" customWidth="1"/>
    <col min="9719" max="9719" width="4.125" style="10" customWidth="1"/>
    <col min="9720" max="9720" width="8.625" style="10" customWidth="1"/>
    <col min="9721" max="9721" width="4.125" style="10" customWidth="1"/>
    <col min="9722" max="9722" width="4.625" style="10" customWidth="1"/>
    <col min="9723" max="9723" width="9.375" style="10" customWidth="1"/>
    <col min="9724" max="9724" width="1.375" style="10" customWidth="1"/>
    <col min="9725" max="9965" width="9" style="10"/>
    <col min="9966" max="9966" width="1.25" style="10" customWidth="1"/>
    <col min="9967" max="9967" width="7.25" style="10" customWidth="1"/>
    <col min="9968" max="9968" width="11.25" style="10" bestFit="1" customWidth="1"/>
    <col min="9969" max="9969" width="8.5" style="10" customWidth="1"/>
    <col min="9970" max="9970" width="17.375" style="10" customWidth="1"/>
    <col min="9971" max="9971" width="2.875" style="10" customWidth="1"/>
    <col min="9972" max="9972" width="4.25" style="10" customWidth="1"/>
    <col min="9973" max="9973" width="8.25" style="10" customWidth="1"/>
    <col min="9974" max="9974" width="4.625" style="10" customWidth="1"/>
    <col min="9975" max="9975" width="4.125" style="10" customWidth="1"/>
    <col min="9976" max="9976" width="8.625" style="10" customWidth="1"/>
    <col min="9977" max="9977" width="4.125" style="10" customWidth="1"/>
    <col min="9978" max="9978" width="4.625" style="10" customWidth="1"/>
    <col min="9979" max="9979" width="9.375" style="10" customWidth="1"/>
    <col min="9980" max="9980" width="1.375" style="10" customWidth="1"/>
    <col min="9981" max="10221" width="9" style="10"/>
    <col min="10222" max="10222" width="1.25" style="10" customWidth="1"/>
    <col min="10223" max="10223" width="7.25" style="10" customWidth="1"/>
    <col min="10224" max="10224" width="11.25" style="10" bestFit="1" customWidth="1"/>
    <col min="10225" max="10225" width="8.5" style="10" customWidth="1"/>
    <col min="10226" max="10226" width="17.375" style="10" customWidth="1"/>
    <col min="10227" max="10227" width="2.875" style="10" customWidth="1"/>
    <col min="10228" max="10228" width="4.25" style="10" customWidth="1"/>
    <col min="10229" max="10229" width="8.25" style="10" customWidth="1"/>
    <col min="10230" max="10230" width="4.625" style="10" customWidth="1"/>
    <col min="10231" max="10231" width="4.125" style="10" customWidth="1"/>
    <col min="10232" max="10232" width="8.625" style="10" customWidth="1"/>
    <col min="10233" max="10233" width="4.125" style="10" customWidth="1"/>
    <col min="10234" max="10234" width="4.625" style="10" customWidth="1"/>
    <col min="10235" max="10235" width="9.375" style="10" customWidth="1"/>
    <col min="10236" max="10236" width="1.375" style="10" customWidth="1"/>
    <col min="10237" max="10477" width="9" style="10"/>
    <col min="10478" max="10478" width="1.25" style="10" customWidth="1"/>
    <col min="10479" max="10479" width="7.25" style="10" customWidth="1"/>
    <col min="10480" max="10480" width="11.25" style="10" bestFit="1" customWidth="1"/>
    <col min="10481" max="10481" width="8.5" style="10" customWidth="1"/>
    <col min="10482" max="10482" width="17.375" style="10" customWidth="1"/>
    <col min="10483" max="10483" width="2.875" style="10" customWidth="1"/>
    <col min="10484" max="10484" width="4.25" style="10" customWidth="1"/>
    <col min="10485" max="10485" width="8.25" style="10" customWidth="1"/>
    <col min="10486" max="10486" width="4.625" style="10" customWidth="1"/>
    <col min="10487" max="10487" width="4.125" style="10" customWidth="1"/>
    <col min="10488" max="10488" width="8.625" style="10" customWidth="1"/>
    <col min="10489" max="10489" width="4.125" style="10" customWidth="1"/>
    <col min="10490" max="10490" width="4.625" style="10" customWidth="1"/>
    <col min="10491" max="10491" width="9.375" style="10" customWidth="1"/>
    <col min="10492" max="10492" width="1.375" style="10" customWidth="1"/>
    <col min="10493" max="10733" width="9" style="10"/>
    <col min="10734" max="10734" width="1.25" style="10" customWidth="1"/>
    <col min="10735" max="10735" width="7.25" style="10" customWidth="1"/>
    <col min="10736" max="10736" width="11.25" style="10" bestFit="1" customWidth="1"/>
    <col min="10737" max="10737" width="8.5" style="10" customWidth="1"/>
    <col min="10738" max="10738" width="17.375" style="10" customWidth="1"/>
    <col min="10739" max="10739" width="2.875" style="10" customWidth="1"/>
    <col min="10740" max="10740" width="4.25" style="10" customWidth="1"/>
    <col min="10741" max="10741" width="8.25" style="10" customWidth="1"/>
    <col min="10742" max="10742" width="4.625" style="10" customWidth="1"/>
    <col min="10743" max="10743" width="4.125" style="10" customWidth="1"/>
    <col min="10744" max="10744" width="8.625" style="10" customWidth="1"/>
    <col min="10745" max="10745" width="4.125" style="10" customWidth="1"/>
    <col min="10746" max="10746" width="4.625" style="10" customWidth="1"/>
    <col min="10747" max="10747" width="9.375" style="10" customWidth="1"/>
    <col min="10748" max="10748" width="1.375" style="10" customWidth="1"/>
    <col min="10749" max="10989" width="9" style="10"/>
    <col min="10990" max="10990" width="1.25" style="10" customWidth="1"/>
    <col min="10991" max="10991" width="7.25" style="10" customWidth="1"/>
    <col min="10992" max="10992" width="11.25" style="10" bestFit="1" customWidth="1"/>
    <col min="10993" max="10993" width="8.5" style="10" customWidth="1"/>
    <col min="10994" max="10994" width="17.375" style="10" customWidth="1"/>
    <col min="10995" max="10995" width="2.875" style="10" customWidth="1"/>
    <col min="10996" max="10996" width="4.25" style="10" customWidth="1"/>
    <col min="10997" max="10997" width="8.25" style="10" customWidth="1"/>
    <col min="10998" max="10998" width="4.625" style="10" customWidth="1"/>
    <col min="10999" max="10999" width="4.125" style="10" customWidth="1"/>
    <col min="11000" max="11000" width="8.625" style="10" customWidth="1"/>
    <col min="11001" max="11001" width="4.125" style="10" customWidth="1"/>
    <col min="11002" max="11002" width="4.625" style="10" customWidth="1"/>
    <col min="11003" max="11003" width="9.375" style="10" customWidth="1"/>
    <col min="11004" max="11004" width="1.375" style="10" customWidth="1"/>
    <col min="11005" max="11245" width="9" style="10"/>
    <col min="11246" max="11246" width="1.25" style="10" customWidth="1"/>
    <col min="11247" max="11247" width="7.25" style="10" customWidth="1"/>
    <col min="11248" max="11248" width="11.25" style="10" bestFit="1" customWidth="1"/>
    <col min="11249" max="11249" width="8.5" style="10" customWidth="1"/>
    <col min="11250" max="11250" width="17.375" style="10" customWidth="1"/>
    <col min="11251" max="11251" width="2.875" style="10" customWidth="1"/>
    <col min="11252" max="11252" width="4.25" style="10" customWidth="1"/>
    <col min="11253" max="11253" width="8.25" style="10" customWidth="1"/>
    <col min="11254" max="11254" width="4.625" style="10" customWidth="1"/>
    <col min="11255" max="11255" width="4.125" style="10" customWidth="1"/>
    <col min="11256" max="11256" width="8.625" style="10" customWidth="1"/>
    <col min="11257" max="11257" width="4.125" style="10" customWidth="1"/>
    <col min="11258" max="11258" width="4.625" style="10" customWidth="1"/>
    <col min="11259" max="11259" width="9.375" style="10" customWidth="1"/>
    <col min="11260" max="11260" width="1.375" style="10" customWidth="1"/>
    <col min="11261" max="11501" width="9" style="10"/>
    <col min="11502" max="11502" width="1.25" style="10" customWidth="1"/>
    <col min="11503" max="11503" width="7.25" style="10" customWidth="1"/>
    <col min="11504" max="11504" width="11.25" style="10" bestFit="1" customWidth="1"/>
    <col min="11505" max="11505" width="8.5" style="10" customWidth="1"/>
    <col min="11506" max="11506" width="17.375" style="10" customWidth="1"/>
    <col min="11507" max="11507" width="2.875" style="10" customWidth="1"/>
    <col min="11508" max="11508" width="4.25" style="10" customWidth="1"/>
    <col min="11509" max="11509" width="8.25" style="10" customWidth="1"/>
    <col min="11510" max="11510" width="4.625" style="10" customWidth="1"/>
    <col min="11511" max="11511" width="4.125" style="10" customWidth="1"/>
    <col min="11512" max="11512" width="8.625" style="10" customWidth="1"/>
    <col min="11513" max="11513" width="4.125" style="10" customWidth="1"/>
    <col min="11514" max="11514" width="4.625" style="10" customWidth="1"/>
    <col min="11515" max="11515" width="9.375" style="10" customWidth="1"/>
    <col min="11516" max="11516" width="1.375" style="10" customWidth="1"/>
    <col min="11517" max="11757" width="9" style="10"/>
    <col min="11758" max="11758" width="1.25" style="10" customWidth="1"/>
    <col min="11759" max="11759" width="7.25" style="10" customWidth="1"/>
    <col min="11760" max="11760" width="11.25" style="10" bestFit="1" customWidth="1"/>
    <col min="11761" max="11761" width="8.5" style="10" customWidth="1"/>
    <col min="11762" max="11762" width="17.375" style="10" customWidth="1"/>
    <col min="11763" max="11763" width="2.875" style="10" customWidth="1"/>
    <col min="11764" max="11764" width="4.25" style="10" customWidth="1"/>
    <col min="11765" max="11765" width="8.25" style="10" customWidth="1"/>
    <col min="11766" max="11766" width="4.625" style="10" customWidth="1"/>
    <col min="11767" max="11767" width="4.125" style="10" customWidth="1"/>
    <col min="11768" max="11768" width="8.625" style="10" customWidth="1"/>
    <col min="11769" max="11769" width="4.125" style="10" customWidth="1"/>
    <col min="11770" max="11770" width="4.625" style="10" customWidth="1"/>
    <col min="11771" max="11771" width="9.375" style="10" customWidth="1"/>
    <col min="11772" max="11772" width="1.375" style="10" customWidth="1"/>
    <col min="11773" max="12013" width="9" style="10"/>
    <col min="12014" max="12014" width="1.25" style="10" customWidth="1"/>
    <col min="12015" max="12015" width="7.25" style="10" customWidth="1"/>
    <col min="12016" max="12016" width="11.25" style="10" bestFit="1" customWidth="1"/>
    <col min="12017" max="12017" width="8.5" style="10" customWidth="1"/>
    <col min="12018" max="12018" width="17.375" style="10" customWidth="1"/>
    <col min="12019" max="12019" width="2.875" style="10" customWidth="1"/>
    <col min="12020" max="12020" width="4.25" style="10" customWidth="1"/>
    <col min="12021" max="12021" width="8.25" style="10" customWidth="1"/>
    <col min="12022" max="12022" width="4.625" style="10" customWidth="1"/>
    <col min="12023" max="12023" width="4.125" style="10" customWidth="1"/>
    <col min="12024" max="12024" width="8.625" style="10" customWidth="1"/>
    <col min="12025" max="12025" width="4.125" style="10" customWidth="1"/>
    <col min="12026" max="12026" width="4.625" style="10" customWidth="1"/>
    <col min="12027" max="12027" width="9.375" style="10" customWidth="1"/>
    <col min="12028" max="12028" width="1.375" style="10" customWidth="1"/>
    <col min="12029" max="12269" width="9" style="10"/>
    <col min="12270" max="12270" width="1.25" style="10" customWidth="1"/>
    <col min="12271" max="12271" width="7.25" style="10" customWidth="1"/>
    <col min="12272" max="12272" width="11.25" style="10" bestFit="1" customWidth="1"/>
    <col min="12273" max="12273" width="8.5" style="10" customWidth="1"/>
    <col min="12274" max="12274" width="17.375" style="10" customWidth="1"/>
    <col min="12275" max="12275" width="2.875" style="10" customWidth="1"/>
    <col min="12276" max="12276" width="4.25" style="10" customWidth="1"/>
    <col min="12277" max="12277" width="8.25" style="10" customWidth="1"/>
    <col min="12278" max="12278" width="4.625" style="10" customWidth="1"/>
    <col min="12279" max="12279" width="4.125" style="10" customWidth="1"/>
    <col min="12280" max="12280" width="8.625" style="10" customWidth="1"/>
    <col min="12281" max="12281" width="4.125" style="10" customWidth="1"/>
    <col min="12282" max="12282" width="4.625" style="10" customWidth="1"/>
    <col min="12283" max="12283" width="9.375" style="10" customWidth="1"/>
    <col min="12284" max="12284" width="1.375" style="10" customWidth="1"/>
    <col min="12285" max="12525" width="9" style="10"/>
    <col min="12526" max="12526" width="1.25" style="10" customWidth="1"/>
    <col min="12527" max="12527" width="7.25" style="10" customWidth="1"/>
    <col min="12528" max="12528" width="11.25" style="10" bestFit="1" customWidth="1"/>
    <col min="12529" max="12529" width="8.5" style="10" customWidth="1"/>
    <col min="12530" max="12530" width="17.375" style="10" customWidth="1"/>
    <col min="12531" max="12531" width="2.875" style="10" customWidth="1"/>
    <col min="12532" max="12532" width="4.25" style="10" customWidth="1"/>
    <col min="12533" max="12533" width="8.25" style="10" customWidth="1"/>
    <col min="12534" max="12534" width="4.625" style="10" customWidth="1"/>
    <col min="12535" max="12535" width="4.125" style="10" customWidth="1"/>
    <col min="12536" max="12536" width="8.625" style="10" customWidth="1"/>
    <col min="12537" max="12537" width="4.125" style="10" customWidth="1"/>
    <col min="12538" max="12538" width="4.625" style="10" customWidth="1"/>
    <col min="12539" max="12539" width="9.375" style="10" customWidth="1"/>
    <col min="12540" max="12540" width="1.375" style="10" customWidth="1"/>
    <col min="12541" max="12781" width="9" style="10"/>
    <col min="12782" max="12782" width="1.25" style="10" customWidth="1"/>
    <col min="12783" max="12783" width="7.25" style="10" customWidth="1"/>
    <col min="12784" max="12784" width="11.25" style="10" bestFit="1" customWidth="1"/>
    <col min="12785" max="12785" width="8.5" style="10" customWidth="1"/>
    <col min="12786" max="12786" width="17.375" style="10" customWidth="1"/>
    <col min="12787" max="12787" width="2.875" style="10" customWidth="1"/>
    <col min="12788" max="12788" width="4.25" style="10" customWidth="1"/>
    <col min="12789" max="12789" width="8.25" style="10" customWidth="1"/>
    <col min="12790" max="12790" width="4.625" style="10" customWidth="1"/>
    <col min="12791" max="12791" width="4.125" style="10" customWidth="1"/>
    <col min="12792" max="12792" width="8.625" style="10" customWidth="1"/>
    <col min="12793" max="12793" width="4.125" style="10" customWidth="1"/>
    <col min="12794" max="12794" width="4.625" style="10" customWidth="1"/>
    <col min="12795" max="12795" width="9.375" style="10" customWidth="1"/>
    <col min="12796" max="12796" width="1.375" style="10" customWidth="1"/>
    <col min="12797" max="13037" width="9" style="10"/>
    <col min="13038" max="13038" width="1.25" style="10" customWidth="1"/>
    <col min="13039" max="13039" width="7.25" style="10" customWidth="1"/>
    <col min="13040" max="13040" width="11.25" style="10" bestFit="1" customWidth="1"/>
    <col min="13041" max="13041" width="8.5" style="10" customWidth="1"/>
    <col min="13042" max="13042" width="17.375" style="10" customWidth="1"/>
    <col min="13043" max="13043" width="2.875" style="10" customWidth="1"/>
    <col min="13044" max="13044" width="4.25" style="10" customWidth="1"/>
    <col min="13045" max="13045" width="8.25" style="10" customWidth="1"/>
    <col min="13046" max="13046" width="4.625" style="10" customWidth="1"/>
    <col min="13047" max="13047" width="4.125" style="10" customWidth="1"/>
    <col min="13048" max="13048" width="8.625" style="10" customWidth="1"/>
    <col min="13049" max="13049" width="4.125" style="10" customWidth="1"/>
    <col min="13050" max="13050" width="4.625" style="10" customWidth="1"/>
    <col min="13051" max="13051" width="9.375" style="10" customWidth="1"/>
    <col min="13052" max="13052" width="1.375" style="10" customWidth="1"/>
    <col min="13053" max="13293" width="9" style="10"/>
    <col min="13294" max="13294" width="1.25" style="10" customWidth="1"/>
    <col min="13295" max="13295" width="7.25" style="10" customWidth="1"/>
    <col min="13296" max="13296" width="11.25" style="10" bestFit="1" customWidth="1"/>
    <col min="13297" max="13297" width="8.5" style="10" customWidth="1"/>
    <col min="13298" max="13298" width="17.375" style="10" customWidth="1"/>
    <col min="13299" max="13299" width="2.875" style="10" customWidth="1"/>
    <col min="13300" max="13300" width="4.25" style="10" customWidth="1"/>
    <col min="13301" max="13301" width="8.25" style="10" customWidth="1"/>
    <col min="13302" max="13302" width="4.625" style="10" customWidth="1"/>
    <col min="13303" max="13303" width="4.125" style="10" customWidth="1"/>
    <col min="13304" max="13304" width="8.625" style="10" customWidth="1"/>
    <col min="13305" max="13305" width="4.125" style="10" customWidth="1"/>
    <col min="13306" max="13306" width="4.625" style="10" customWidth="1"/>
    <col min="13307" max="13307" width="9.375" style="10" customWidth="1"/>
    <col min="13308" max="13308" width="1.375" style="10" customWidth="1"/>
    <col min="13309" max="13549" width="9" style="10"/>
    <col min="13550" max="13550" width="1.25" style="10" customWidth="1"/>
    <col min="13551" max="13551" width="7.25" style="10" customWidth="1"/>
    <col min="13552" max="13552" width="11.25" style="10" bestFit="1" customWidth="1"/>
    <col min="13553" max="13553" width="8.5" style="10" customWidth="1"/>
    <col min="13554" max="13554" width="17.375" style="10" customWidth="1"/>
    <col min="13555" max="13555" width="2.875" style="10" customWidth="1"/>
    <col min="13556" max="13556" width="4.25" style="10" customWidth="1"/>
    <col min="13557" max="13557" width="8.25" style="10" customWidth="1"/>
    <col min="13558" max="13558" width="4.625" style="10" customWidth="1"/>
    <col min="13559" max="13559" width="4.125" style="10" customWidth="1"/>
    <col min="13560" max="13560" width="8.625" style="10" customWidth="1"/>
    <col min="13561" max="13561" width="4.125" style="10" customWidth="1"/>
    <col min="13562" max="13562" width="4.625" style="10" customWidth="1"/>
    <col min="13563" max="13563" width="9.375" style="10" customWidth="1"/>
    <col min="13564" max="13564" width="1.375" style="10" customWidth="1"/>
    <col min="13565" max="13805" width="9" style="10"/>
    <col min="13806" max="13806" width="1.25" style="10" customWidth="1"/>
    <col min="13807" max="13807" width="7.25" style="10" customWidth="1"/>
    <col min="13808" max="13808" width="11.25" style="10" bestFit="1" customWidth="1"/>
    <col min="13809" max="13809" width="8.5" style="10" customWidth="1"/>
    <col min="13810" max="13810" width="17.375" style="10" customWidth="1"/>
    <col min="13811" max="13811" width="2.875" style="10" customWidth="1"/>
    <col min="13812" max="13812" width="4.25" style="10" customWidth="1"/>
    <col min="13813" max="13813" width="8.25" style="10" customWidth="1"/>
    <col min="13814" max="13814" width="4.625" style="10" customWidth="1"/>
    <col min="13815" max="13815" width="4.125" style="10" customWidth="1"/>
    <col min="13816" max="13816" width="8.625" style="10" customWidth="1"/>
    <col min="13817" max="13817" width="4.125" style="10" customWidth="1"/>
    <col min="13818" max="13818" width="4.625" style="10" customWidth="1"/>
    <col min="13819" max="13819" width="9.375" style="10" customWidth="1"/>
    <col min="13820" max="13820" width="1.375" style="10" customWidth="1"/>
    <col min="13821" max="14061" width="9" style="10"/>
    <col min="14062" max="14062" width="1.25" style="10" customWidth="1"/>
    <col min="14063" max="14063" width="7.25" style="10" customWidth="1"/>
    <col min="14064" max="14064" width="11.25" style="10" bestFit="1" customWidth="1"/>
    <col min="14065" max="14065" width="8.5" style="10" customWidth="1"/>
    <col min="14066" max="14066" width="17.375" style="10" customWidth="1"/>
    <col min="14067" max="14067" width="2.875" style="10" customWidth="1"/>
    <col min="14068" max="14068" width="4.25" style="10" customWidth="1"/>
    <col min="14069" max="14069" width="8.25" style="10" customWidth="1"/>
    <col min="14070" max="14070" width="4.625" style="10" customWidth="1"/>
    <col min="14071" max="14071" width="4.125" style="10" customWidth="1"/>
    <col min="14072" max="14072" width="8.625" style="10" customWidth="1"/>
    <col min="14073" max="14073" width="4.125" style="10" customWidth="1"/>
    <col min="14074" max="14074" width="4.625" style="10" customWidth="1"/>
    <col min="14075" max="14075" width="9.375" style="10" customWidth="1"/>
    <col min="14076" max="14076" width="1.375" style="10" customWidth="1"/>
    <col min="14077" max="14317" width="9" style="10"/>
    <col min="14318" max="14318" width="1.25" style="10" customWidth="1"/>
    <col min="14319" max="14319" width="7.25" style="10" customWidth="1"/>
    <col min="14320" max="14320" width="11.25" style="10" bestFit="1" customWidth="1"/>
    <col min="14321" max="14321" width="8.5" style="10" customWidth="1"/>
    <col min="14322" max="14322" width="17.375" style="10" customWidth="1"/>
    <col min="14323" max="14323" width="2.875" style="10" customWidth="1"/>
    <col min="14324" max="14324" width="4.25" style="10" customWidth="1"/>
    <col min="14325" max="14325" width="8.25" style="10" customWidth="1"/>
    <col min="14326" max="14326" width="4.625" style="10" customWidth="1"/>
    <col min="14327" max="14327" width="4.125" style="10" customWidth="1"/>
    <col min="14328" max="14328" width="8.625" style="10" customWidth="1"/>
    <col min="14329" max="14329" width="4.125" style="10" customWidth="1"/>
    <col min="14330" max="14330" width="4.625" style="10" customWidth="1"/>
    <col min="14331" max="14331" width="9.375" style="10" customWidth="1"/>
    <col min="14332" max="14332" width="1.375" style="10" customWidth="1"/>
    <col min="14333" max="14573" width="9" style="10"/>
    <col min="14574" max="14574" width="1.25" style="10" customWidth="1"/>
    <col min="14575" max="14575" width="7.25" style="10" customWidth="1"/>
    <col min="14576" max="14576" width="11.25" style="10" bestFit="1" customWidth="1"/>
    <col min="14577" max="14577" width="8.5" style="10" customWidth="1"/>
    <col min="14578" max="14578" width="17.375" style="10" customWidth="1"/>
    <col min="14579" max="14579" width="2.875" style="10" customWidth="1"/>
    <col min="14580" max="14580" width="4.25" style="10" customWidth="1"/>
    <col min="14581" max="14581" width="8.25" style="10" customWidth="1"/>
    <col min="14582" max="14582" width="4.625" style="10" customWidth="1"/>
    <col min="14583" max="14583" width="4.125" style="10" customWidth="1"/>
    <col min="14584" max="14584" width="8.625" style="10" customWidth="1"/>
    <col min="14585" max="14585" width="4.125" style="10" customWidth="1"/>
    <col min="14586" max="14586" width="4.625" style="10" customWidth="1"/>
    <col min="14587" max="14587" width="9.375" style="10" customWidth="1"/>
    <col min="14588" max="14588" width="1.375" style="10" customWidth="1"/>
    <col min="14589" max="14829" width="9" style="10"/>
    <col min="14830" max="14830" width="1.25" style="10" customWidth="1"/>
    <col min="14831" max="14831" width="7.25" style="10" customWidth="1"/>
    <col min="14832" max="14832" width="11.25" style="10" bestFit="1" customWidth="1"/>
    <col min="14833" max="14833" width="8.5" style="10" customWidth="1"/>
    <col min="14834" max="14834" width="17.375" style="10" customWidth="1"/>
    <col min="14835" max="14835" width="2.875" style="10" customWidth="1"/>
    <col min="14836" max="14836" width="4.25" style="10" customWidth="1"/>
    <col min="14837" max="14837" width="8.25" style="10" customWidth="1"/>
    <col min="14838" max="14838" width="4.625" style="10" customWidth="1"/>
    <col min="14839" max="14839" width="4.125" style="10" customWidth="1"/>
    <col min="14840" max="14840" width="8.625" style="10" customWidth="1"/>
    <col min="14841" max="14841" width="4.125" style="10" customWidth="1"/>
    <col min="14842" max="14842" width="4.625" style="10" customWidth="1"/>
    <col min="14843" max="14843" width="9.375" style="10" customWidth="1"/>
    <col min="14844" max="14844" width="1.375" style="10" customWidth="1"/>
    <col min="14845" max="15085" width="9" style="10"/>
    <col min="15086" max="15086" width="1.25" style="10" customWidth="1"/>
    <col min="15087" max="15087" width="7.25" style="10" customWidth="1"/>
    <col min="15088" max="15088" width="11.25" style="10" bestFit="1" customWidth="1"/>
    <col min="15089" max="15089" width="8.5" style="10" customWidth="1"/>
    <col min="15090" max="15090" width="17.375" style="10" customWidth="1"/>
    <col min="15091" max="15091" width="2.875" style="10" customWidth="1"/>
    <col min="15092" max="15092" width="4.25" style="10" customWidth="1"/>
    <col min="15093" max="15093" width="8.25" style="10" customWidth="1"/>
    <col min="15094" max="15094" width="4.625" style="10" customWidth="1"/>
    <col min="15095" max="15095" width="4.125" style="10" customWidth="1"/>
    <col min="15096" max="15096" width="8.625" style="10" customWidth="1"/>
    <col min="15097" max="15097" width="4.125" style="10" customWidth="1"/>
    <col min="15098" max="15098" width="4.625" style="10" customWidth="1"/>
    <col min="15099" max="15099" width="9.375" style="10" customWidth="1"/>
    <col min="15100" max="15100" width="1.375" style="10" customWidth="1"/>
    <col min="15101" max="15341" width="9" style="10"/>
    <col min="15342" max="15342" width="1.25" style="10" customWidth="1"/>
    <col min="15343" max="15343" width="7.25" style="10" customWidth="1"/>
    <col min="15344" max="15344" width="11.25" style="10" bestFit="1" customWidth="1"/>
    <col min="15345" max="15345" width="8.5" style="10" customWidth="1"/>
    <col min="15346" max="15346" width="17.375" style="10" customWidth="1"/>
    <col min="15347" max="15347" width="2.875" style="10" customWidth="1"/>
    <col min="15348" max="15348" width="4.25" style="10" customWidth="1"/>
    <col min="15349" max="15349" width="8.25" style="10" customWidth="1"/>
    <col min="15350" max="15350" width="4.625" style="10" customWidth="1"/>
    <col min="15351" max="15351" width="4.125" style="10" customWidth="1"/>
    <col min="15352" max="15352" width="8.625" style="10" customWidth="1"/>
    <col min="15353" max="15353" width="4.125" style="10" customWidth="1"/>
    <col min="15354" max="15354" width="4.625" style="10" customWidth="1"/>
    <col min="15355" max="15355" width="9.375" style="10" customWidth="1"/>
    <col min="15356" max="15356" width="1.375" style="10" customWidth="1"/>
    <col min="15357" max="15597" width="9" style="10"/>
    <col min="15598" max="15598" width="1.25" style="10" customWidth="1"/>
    <col min="15599" max="15599" width="7.25" style="10" customWidth="1"/>
    <col min="15600" max="15600" width="11.25" style="10" bestFit="1" customWidth="1"/>
    <col min="15601" max="15601" width="8.5" style="10" customWidth="1"/>
    <col min="15602" max="15602" width="17.375" style="10" customWidth="1"/>
    <col min="15603" max="15603" width="2.875" style="10" customWidth="1"/>
    <col min="15604" max="15604" width="4.25" style="10" customWidth="1"/>
    <col min="15605" max="15605" width="8.25" style="10" customWidth="1"/>
    <col min="15606" max="15606" width="4.625" style="10" customWidth="1"/>
    <col min="15607" max="15607" width="4.125" style="10" customWidth="1"/>
    <col min="15608" max="15608" width="8.625" style="10" customWidth="1"/>
    <col min="15609" max="15609" width="4.125" style="10" customWidth="1"/>
    <col min="15610" max="15610" width="4.625" style="10" customWidth="1"/>
    <col min="15611" max="15611" width="9.375" style="10" customWidth="1"/>
    <col min="15612" max="15612" width="1.375" style="10" customWidth="1"/>
    <col min="15613" max="15853" width="9" style="10"/>
    <col min="15854" max="15854" width="1.25" style="10" customWidth="1"/>
    <col min="15855" max="15855" width="7.25" style="10" customWidth="1"/>
    <col min="15856" max="15856" width="11.25" style="10" bestFit="1" customWidth="1"/>
    <col min="15857" max="15857" width="8.5" style="10" customWidth="1"/>
    <col min="15858" max="15858" width="17.375" style="10" customWidth="1"/>
    <col min="15859" max="15859" width="2.875" style="10" customWidth="1"/>
    <col min="15860" max="15860" width="4.25" style="10" customWidth="1"/>
    <col min="15861" max="15861" width="8.25" style="10" customWidth="1"/>
    <col min="15862" max="15862" width="4.625" style="10" customWidth="1"/>
    <col min="15863" max="15863" width="4.125" style="10" customWidth="1"/>
    <col min="15864" max="15864" width="8.625" style="10" customWidth="1"/>
    <col min="15865" max="15865" width="4.125" style="10" customWidth="1"/>
    <col min="15866" max="15866" width="4.625" style="10" customWidth="1"/>
    <col min="15867" max="15867" width="9.375" style="10" customWidth="1"/>
    <col min="15868" max="15868" width="1.375" style="10" customWidth="1"/>
    <col min="15869" max="16109" width="9" style="10"/>
    <col min="16110" max="16110" width="1.25" style="10" customWidth="1"/>
    <col min="16111" max="16111" width="7.25" style="10" customWidth="1"/>
    <col min="16112" max="16112" width="11.25" style="10" bestFit="1" customWidth="1"/>
    <col min="16113" max="16113" width="8.5" style="10" customWidth="1"/>
    <col min="16114" max="16114" width="17.375" style="10" customWidth="1"/>
    <col min="16115" max="16115" width="2.875" style="10" customWidth="1"/>
    <col min="16116" max="16116" width="4.25" style="10" customWidth="1"/>
    <col min="16117" max="16117" width="8.25" style="10" customWidth="1"/>
    <col min="16118" max="16118" width="4.625" style="10" customWidth="1"/>
    <col min="16119" max="16119" width="4.125" style="10" customWidth="1"/>
    <col min="16120" max="16120" width="8.625" style="10" customWidth="1"/>
    <col min="16121" max="16121" width="4.125" style="10" customWidth="1"/>
    <col min="16122" max="16122" width="4.625" style="10" customWidth="1"/>
    <col min="16123" max="16123" width="9.375" style="10" customWidth="1"/>
    <col min="16124" max="16124" width="1.375" style="10" customWidth="1"/>
    <col min="16125" max="16384" width="9" style="10"/>
  </cols>
  <sheetData>
    <row r="1" spans="1:18" s="5" customFormat="1" ht="15" customHeight="1" x14ac:dyDescent="0.2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35"/>
      <c r="M1" s="35"/>
      <c r="N1" s="4"/>
      <c r="O1" s="4"/>
      <c r="P1" s="4"/>
    </row>
    <row r="2" spans="1:18" s="5" customFormat="1" ht="23.45" customHeight="1" x14ac:dyDescent="0.25">
      <c r="A2" s="6"/>
      <c r="C2" s="90">
        <v>7</v>
      </c>
      <c r="D2" s="90"/>
      <c r="E2" s="90"/>
      <c r="F2" s="90"/>
      <c r="G2" s="90"/>
      <c r="H2" s="90"/>
      <c r="I2" s="90"/>
      <c r="J2" s="90"/>
      <c r="K2" s="90"/>
      <c r="L2" s="37"/>
      <c r="M2" s="37"/>
      <c r="N2" s="27"/>
      <c r="O2" s="17"/>
    </row>
    <row r="3" spans="1:18" s="5" customFormat="1" ht="23.45" customHeight="1" x14ac:dyDescent="0.25">
      <c r="A3" s="6"/>
      <c r="C3" s="90"/>
      <c r="D3" s="90"/>
      <c r="E3" s="90"/>
      <c r="F3" s="90"/>
      <c r="G3" s="90"/>
      <c r="H3" s="90"/>
      <c r="I3" s="90"/>
      <c r="J3" s="90"/>
      <c r="K3" s="90"/>
      <c r="L3" s="37"/>
      <c r="M3" s="37"/>
      <c r="N3" s="27"/>
      <c r="O3" s="17"/>
      <c r="P3" s="91" t="s">
        <v>0</v>
      </c>
      <c r="Q3" s="91"/>
      <c r="R3" s="91"/>
    </row>
    <row r="4" spans="1:18" s="5" customFormat="1" ht="16.5" customHeight="1" x14ac:dyDescent="0.25">
      <c r="A4" s="6"/>
      <c r="C4" s="7"/>
      <c r="D4" s="7"/>
      <c r="E4" s="7"/>
      <c r="F4" s="7"/>
      <c r="G4" s="7"/>
      <c r="H4" s="7"/>
      <c r="I4" s="7"/>
      <c r="J4" s="7"/>
      <c r="K4" s="7"/>
      <c r="L4" s="38"/>
      <c r="M4" s="38"/>
      <c r="N4" s="7"/>
      <c r="O4" s="7"/>
      <c r="P4" s="13" t="s">
        <v>1</v>
      </c>
      <c r="Q4" s="13" t="s">
        <v>7</v>
      </c>
      <c r="R4" s="13" t="s">
        <v>12</v>
      </c>
    </row>
    <row r="5" spans="1:18" s="5" customFormat="1" ht="16.5" customHeight="1" x14ac:dyDescent="0.25">
      <c r="A5" s="6"/>
      <c r="C5" s="8"/>
      <c r="D5" s="8"/>
      <c r="E5" s="8"/>
      <c r="F5" s="8"/>
      <c r="G5" s="8"/>
      <c r="H5" s="8"/>
      <c r="I5" s="8"/>
      <c r="J5" s="8"/>
      <c r="K5" s="8"/>
      <c r="L5" s="38"/>
      <c r="M5" s="38"/>
      <c r="N5" s="8"/>
      <c r="O5" s="8"/>
      <c r="P5" s="92"/>
      <c r="Q5" s="92"/>
      <c r="R5" s="92"/>
    </row>
    <row r="6" spans="1:18" s="5" customFormat="1" ht="23.45" customHeight="1" x14ac:dyDescent="0.25">
      <c r="A6" s="6"/>
      <c r="C6" s="9" t="s">
        <v>16</v>
      </c>
      <c r="D6" s="1">
        <f ca="1">TODAY()</f>
        <v>46238</v>
      </c>
      <c r="E6" s="19"/>
      <c r="F6" s="19"/>
      <c r="G6" s="19"/>
      <c r="H6" s="19"/>
      <c r="I6" s="8"/>
      <c r="J6" s="8"/>
      <c r="K6" s="8"/>
      <c r="L6" s="38"/>
      <c r="M6" s="38"/>
      <c r="N6" s="8"/>
      <c r="O6" s="8"/>
      <c r="P6" s="93"/>
      <c r="Q6" s="93"/>
      <c r="R6" s="93"/>
    </row>
    <row r="7" spans="1:18" s="5" customFormat="1" ht="23.45" customHeight="1" x14ac:dyDescent="0.25">
      <c r="A7" s="6"/>
      <c r="C7" s="20" t="s">
        <v>13</v>
      </c>
      <c r="D7" s="2" t="s">
        <v>15</v>
      </c>
      <c r="E7" s="21"/>
      <c r="F7" s="21"/>
      <c r="G7" s="21"/>
      <c r="H7" s="21"/>
      <c r="I7" s="8"/>
      <c r="J7" s="8"/>
      <c r="K7" s="8"/>
      <c r="L7" s="38"/>
      <c r="M7" s="38"/>
      <c r="N7" s="8"/>
      <c r="O7" s="8"/>
      <c r="P7" s="94"/>
      <c r="Q7" s="94"/>
      <c r="R7" s="94"/>
    </row>
    <row r="8" spans="1:18" s="5" customFormat="1" ht="23.45" customHeight="1" x14ac:dyDescent="0.25">
      <c r="A8" s="6"/>
      <c r="C8" s="9" t="s">
        <v>2</v>
      </c>
      <c r="D8" s="2" t="s">
        <v>3</v>
      </c>
      <c r="E8" s="21"/>
      <c r="F8" s="21"/>
      <c r="G8" s="21"/>
      <c r="H8" s="21"/>
      <c r="I8" s="8"/>
      <c r="J8" s="8"/>
      <c r="K8" s="8"/>
      <c r="L8" s="38"/>
      <c r="M8" s="38"/>
      <c r="N8" s="8"/>
      <c r="O8" s="8"/>
    </row>
    <row r="9" spans="1:18" s="5" customFormat="1" ht="15" customHeight="1" thickBot="1" x14ac:dyDescent="0.3">
      <c r="A9" s="6"/>
      <c r="L9" s="36"/>
      <c r="M9" s="36"/>
    </row>
    <row r="10" spans="1:18" s="5" customFormat="1" ht="20.100000000000001" customHeight="1" x14ac:dyDescent="0.25">
      <c r="A10" s="6"/>
      <c r="L10" s="36"/>
      <c r="M10" s="36"/>
      <c r="P10" s="97" t="s">
        <v>36</v>
      </c>
      <c r="Q10" s="98"/>
    </row>
    <row r="11" spans="1:18" s="5" customFormat="1" ht="20.100000000000001" customHeight="1" x14ac:dyDescent="0.25">
      <c r="L11" s="36"/>
      <c r="M11" s="36"/>
      <c r="P11" s="22" t="s">
        <v>21</v>
      </c>
      <c r="Q11" s="23" t="s">
        <v>22</v>
      </c>
    </row>
    <row r="12" spans="1:18" ht="24.75" customHeight="1" thickBot="1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36"/>
      <c r="M12" s="36"/>
      <c r="N12" s="5"/>
      <c r="O12" s="5"/>
      <c r="P12" s="55">
        <f>SUM(K17:K47)</f>
        <v>0</v>
      </c>
      <c r="Q12" s="56">
        <f>SUM(L17:L47)</f>
        <v>0</v>
      </c>
    </row>
    <row r="13" spans="1:18" ht="23.25" customHeight="1" thickBot="1" x14ac:dyDescent="0.35">
      <c r="B13" s="83" t="s">
        <v>9</v>
      </c>
      <c r="C13" s="84"/>
      <c r="D13" s="84"/>
      <c r="E13" s="84"/>
      <c r="F13" s="84"/>
      <c r="G13" s="84"/>
      <c r="H13" s="84"/>
      <c r="I13" s="84"/>
      <c r="J13" s="85"/>
      <c r="K13" s="102" t="s">
        <v>11</v>
      </c>
      <c r="L13" s="103"/>
      <c r="M13" s="103"/>
      <c r="N13" s="104"/>
    </row>
    <row r="14" spans="1:18" ht="23.25" customHeight="1" thickBot="1" x14ac:dyDescent="0.35">
      <c r="B14" s="80" t="s">
        <v>37</v>
      </c>
      <c r="C14" s="81"/>
      <c r="D14" s="81"/>
      <c r="E14" s="81"/>
      <c r="F14" s="81"/>
      <c r="G14" s="81"/>
      <c r="H14" s="81"/>
      <c r="I14" s="81"/>
      <c r="J14" s="82"/>
      <c r="K14" s="99" t="s">
        <v>38</v>
      </c>
      <c r="L14" s="100"/>
      <c r="M14" s="100"/>
      <c r="N14" s="101"/>
    </row>
    <row r="15" spans="1:18" ht="45" customHeight="1" x14ac:dyDescent="0.3">
      <c r="B15" s="76" t="s">
        <v>4</v>
      </c>
      <c r="C15" s="77" t="s">
        <v>5</v>
      </c>
      <c r="D15" s="58" t="s">
        <v>19</v>
      </c>
      <c r="E15" s="59" t="s">
        <v>20</v>
      </c>
      <c r="F15" s="60" t="s">
        <v>14</v>
      </c>
      <c r="G15" s="61" t="s">
        <v>8</v>
      </c>
      <c r="H15" s="62" t="s">
        <v>27</v>
      </c>
      <c r="I15" s="62" t="s">
        <v>28</v>
      </c>
      <c r="J15" s="63" t="s">
        <v>29</v>
      </c>
      <c r="K15" s="31" t="s">
        <v>17</v>
      </c>
      <c r="L15" s="32" t="s">
        <v>18</v>
      </c>
      <c r="M15" s="95" t="s">
        <v>10</v>
      </c>
      <c r="N15" s="96"/>
    </row>
    <row r="16" spans="1:18" ht="27" customHeight="1" x14ac:dyDescent="0.3">
      <c r="B16" s="71" t="s">
        <v>23</v>
      </c>
      <c r="C16" s="57" t="s">
        <v>24</v>
      </c>
      <c r="D16" s="49">
        <v>0.375</v>
      </c>
      <c r="E16" s="48">
        <v>0.54166666666666663</v>
      </c>
      <c r="F16" s="50">
        <v>1</v>
      </c>
      <c r="G16" s="47" t="s">
        <v>25</v>
      </c>
      <c r="H16" s="51" t="s">
        <v>31</v>
      </c>
      <c r="I16" s="51">
        <v>4</v>
      </c>
      <c r="J16" s="52" t="s">
        <v>32</v>
      </c>
      <c r="K16" s="33">
        <f>IF(AND(D16&lt;&gt;"",E16&lt;&gt;""),IF(H16="입력하세요","대체휴무지급  여부 입력",ROUNDDOWN(MAX(0,((E16-D16)*24)-IF(F16&lt;&gt;"",F16,0)-IF(I16&lt;&gt;"",I16,0))*2,0)/2),"")</f>
        <v>0</v>
      </c>
      <c r="L16" s="34">
        <f>IF(K16&lt;&gt;"",K16,"")</f>
        <v>0</v>
      </c>
      <c r="M16" s="86"/>
      <c r="N16" s="87"/>
    </row>
    <row r="17" spans="2:14" ht="27" customHeight="1" x14ac:dyDescent="0.3">
      <c r="B17" s="71">
        <v>1</v>
      </c>
      <c r="C17" s="57">
        <f t="shared" ref="C17:C44" ca="1" si="0">DATE(YEAR($D$6),$C$2,$B17)</f>
        <v>46204</v>
      </c>
      <c r="D17" s="64"/>
      <c r="E17" s="28"/>
      <c r="F17" s="54"/>
      <c r="G17" s="26"/>
      <c r="H17" s="29" t="s">
        <v>30</v>
      </c>
      <c r="I17" s="29"/>
      <c r="J17" s="42"/>
      <c r="K17" s="33" t="str">
        <f t="shared" ref="K17:K47" si="1">IF(AND(D17&lt;&gt;"",E17&lt;&gt;""),IF(H17="입력하세요","대체휴무지급  여부 입력",ROUNDDOWN(MAX(0,((E17-D17)*24)-IF(F17&lt;&gt;"",F17,0)-IF(I17&lt;&gt;"",I17,0))*2,0)/2),"")</f>
        <v/>
      </c>
      <c r="L17" s="34" t="str">
        <f t="shared" ref="L17:L47" si="2">IF(K17&lt;&gt;"",K17,"")</f>
        <v/>
      </c>
      <c r="M17" s="86"/>
      <c r="N17" s="87"/>
    </row>
    <row r="18" spans="2:14" ht="27" customHeight="1" x14ac:dyDescent="0.3">
      <c r="B18" s="71">
        <v>2</v>
      </c>
      <c r="C18" s="57">
        <f t="shared" ca="1" si="0"/>
        <v>46205</v>
      </c>
      <c r="D18" s="64"/>
      <c r="E18" s="28"/>
      <c r="F18" s="54"/>
      <c r="G18" s="26"/>
      <c r="H18" s="29" t="s">
        <v>30</v>
      </c>
      <c r="I18" s="29"/>
      <c r="J18" s="42"/>
      <c r="K18" s="33" t="str">
        <f>IF(AND(D18&lt;&gt;"",E18&lt;&gt;""),IF(H18="입력하세요","대체휴무지급  여부 입력",ROUNDDOWN(MAX(0,((E18-D18)*24)-IF(F18&lt;&gt;"",F18,0)-IF(I18&lt;&gt;"",I18,0))*2,0)/2),"")</f>
        <v/>
      </c>
      <c r="L18" s="34" t="str">
        <f t="shared" si="2"/>
        <v/>
      </c>
      <c r="M18" s="86"/>
      <c r="N18" s="87"/>
    </row>
    <row r="19" spans="2:14" ht="27" customHeight="1" x14ac:dyDescent="0.3">
      <c r="B19" s="71">
        <v>3</v>
      </c>
      <c r="C19" s="57">
        <f t="shared" ca="1" si="0"/>
        <v>46206</v>
      </c>
      <c r="D19" s="64"/>
      <c r="E19" s="28"/>
      <c r="F19" s="54"/>
      <c r="G19" s="26"/>
      <c r="H19" s="29" t="s">
        <v>30</v>
      </c>
      <c r="I19" s="29"/>
      <c r="J19" s="42"/>
      <c r="K19" s="33" t="str">
        <f t="shared" si="1"/>
        <v/>
      </c>
      <c r="L19" s="34" t="str">
        <f t="shared" si="2"/>
        <v/>
      </c>
      <c r="M19" s="86"/>
      <c r="N19" s="87"/>
    </row>
    <row r="20" spans="2:14" ht="27" customHeight="1" x14ac:dyDescent="0.3">
      <c r="B20" s="71">
        <v>4</v>
      </c>
      <c r="C20" s="57">
        <f t="shared" ca="1" si="0"/>
        <v>46207</v>
      </c>
      <c r="D20" s="64"/>
      <c r="E20" s="28"/>
      <c r="F20" s="54"/>
      <c r="G20" s="26"/>
      <c r="H20" s="29" t="s">
        <v>30</v>
      </c>
      <c r="I20" s="29"/>
      <c r="J20" s="42"/>
      <c r="K20" s="33" t="str">
        <f>IF(AND(D20&lt;&gt;"",E20&lt;&gt;""),IF(H20="입력하세요","대체휴무지급  여부 입력",ROUNDDOWN(MAX(0,((E20-D20)*24)-IF(F20&lt;&gt;"",F20,0)-IF(I20&lt;&gt;"",I20,0))*2,0)/2),"")</f>
        <v/>
      </c>
      <c r="L20" s="34" t="str">
        <f t="shared" si="2"/>
        <v/>
      </c>
      <c r="M20" s="86"/>
      <c r="N20" s="87"/>
    </row>
    <row r="21" spans="2:14" ht="27" customHeight="1" x14ac:dyDescent="0.3">
      <c r="B21" s="71">
        <v>5</v>
      </c>
      <c r="C21" s="57">
        <f t="shared" ca="1" si="0"/>
        <v>46208</v>
      </c>
      <c r="D21" s="64"/>
      <c r="E21" s="28"/>
      <c r="F21" s="54"/>
      <c r="G21" s="26"/>
      <c r="H21" s="29" t="s">
        <v>30</v>
      </c>
      <c r="I21" s="29"/>
      <c r="J21" s="42"/>
      <c r="K21" s="33" t="str">
        <f t="shared" si="1"/>
        <v/>
      </c>
      <c r="L21" s="34" t="str">
        <f t="shared" si="2"/>
        <v/>
      </c>
      <c r="M21" s="86"/>
      <c r="N21" s="87"/>
    </row>
    <row r="22" spans="2:14" ht="27" customHeight="1" x14ac:dyDescent="0.3">
      <c r="B22" s="71">
        <v>6</v>
      </c>
      <c r="C22" s="57">
        <f t="shared" ca="1" si="0"/>
        <v>46209</v>
      </c>
      <c r="D22" s="64"/>
      <c r="E22" s="28"/>
      <c r="F22" s="54"/>
      <c r="G22" s="26"/>
      <c r="H22" s="29" t="s">
        <v>30</v>
      </c>
      <c r="I22" s="29"/>
      <c r="J22" s="42"/>
      <c r="K22" s="33" t="str">
        <f t="shared" si="1"/>
        <v/>
      </c>
      <c r="L22" s="34" t="str">
        <f t="shared" si="2"/>
        <v/>
      </c>
      <c r="M22" s="86"/>
      <c r="N22" s="87"/>
    </row>
    <row r="23" spans="2:14" ht="27" customHeight="1" x14ac:dyDescent="0.3">
      <c r="B23" s="71">
        <v>7</v>
      </c>
      <c r="C23" s="57">
        <f t="shared" ca="1" si="0"/>
        <v>46210</v>
      </c>
      <c r="D23" s="64"/>
      <c r="E23" s="28"/>
      <c r="F23" s="54"/>
      <c r="G23" s="26"/>
      <c r="H23" s="29" t="s">
        <v>30</v>
      </c>
      <c r="I23" s="29"/>
      <c r="J23" s="42"/>
      <c r="K23" s="33" t="str">
        <f t="shared" si="1"/>
        <v/>
      </c>
      <c r="L23" s="34" t="str">
        <f t="shared" si="2"/>
        <v/>
      </c>
      <c r="M23" s="86"/>
      <c r="N23" s="87"/>
    </row>
    <row r="24" spans="2:14" ht="27" customHeight="1" x14ac:dyDescent="0.3">
      <c r="B24" s="71">
        <v>8</v>
      </c>
      <c r="C24" s="57">
        <f t="shared" ca="1" si="0"/>
        <v>46211</v>
      </c>
      <c r="D24" s="64"/>
      <c r="E24" s="28"/>
      <c r="F24" s="54"/>
      <c r="G24" s="26"/>
      <c r="H24" s="29" t="s">
        <v>30</v>
      </c>
      <c r="I24" s="29"/>
      <c r="J24" s="42"/>
      <c r="K24" s="33" t="str">
        <f t="shared" si="1"/>
        <v/>
      </c>
      <c r="L24" s="34" t="str">
        <f t="shared" si="2"/>
        <v/>
      </c>
      <c r="M24" s="86"/>
      <c r="N24" s="87"/>
    </row>
    <row r="25" spans="2:14" ht="27" customHeight="1" x14ac:dyDescent="0.3">
      <c r="B25" s="71">
        <v>9</v>
      </c>
      <c r="C25" s="57">
        <f t="shared" ca="1" si="0"/>
        <v>46212</v>
      </c>
      <c r="D25" s="64"/>
      <c r="E25" s="28"/>
      <c r="F25" s="54"/>
      <c r="G25" s="26"/>
      <c r="H25" s="29" t="s">
        <v>30</v>
      </c>
      <c r="I25" s="29"/>
      <c r="J25" s="42"/>
      <c r="K25" s="33" t="str">
        <f t="shared" si="1"/>
        <v/>
      </c>
      <c r="L25" s="34" t="str">
        <f t="shared" si="2"/>
        <v/>
      </c>
      <c r="M25" s="86"/>
      <c r="N25" s="87"/>
    </row>
    <row r="26" spans="2:14" ht="27" customHeight="1" x14ac:dyDescent="0.3">
      <c r="B26" s="71">
        <v>10</v>
      </c>
      <c r="C26" s="57">
        <f t="shared" ca="1" si="0"/>
        <v>46213</v>
      </c>
      <c r="D26" s="64"/>
      <c r="E26" s="28"/>
      <c r="F26" s="54"/>
      <c r="G26" s="26"/>
      <c r="H26" s="29" t="s">
        <v>30</v>
      </c>
      <c r="I26" s="29"/>
      <c r="J26" s="42"/>
      <c r="K26" s="33" t="str">
        <f t="shared" si="1"/>
        <v/>
      </c>
      <c r="L26" s="34" t="str">
        <f t="shared" si="2"/>
        <v/>
      </c>
      <c r="M26" s="86"/>
      <c r="N26" s="87"/>
    </row>
    <row r="27" spans="2:14" ht="27" customHeight="1" x14ac:dyDescent="0.3">
      <c r="B27" s="71">
        <v>11</v>
      </c>
      <c r="C27" s="57">
        <f t="shared" ca="1" si="0"/>
        <v>46214</v>
      </c>
      <c r="D27" s="64"/>
      <c r="E27" s="28"/>
      <c r="F27" s="54"/>
      <c r="G27" s="26"/>
      <c r="H27" s="29" t="s">
        <v>30</v>
      </c>
      <c r="I27" s="29"/>
      <c r="J27" s="42"/>
      <c r="K27" s="33" t="str">
        <f t="shared" si="1"/>
        <v/>
      </c>
      <c r="L27" s="34" t="str">
        <f t="shared" si="2"/>
        <v/>
      </c>
      <c r="M27" s="86"/>
      <c r="N27" s="87"/>
    </row>
    <row r="28" spans="2:14" ht="27" customHeight="1" x14ac:dyDescent="0.3">
      <c r="B28" s="71">
        <v>12</v>
      </c>
      <c r="C28" s="57">
        <f t="shared" ca="1" si="0"/>
        <v>46215</v>
      </c>
      <c r="D28" s="64"/>
      <c r="E28" s="28"/>
      <c r="F28" s="54"/>
      <c r="G28" s="26"/>
      <c r="H28" s="29" t="s">
        <v>30</v>
      </c>
      <c r="I28" s="29"/>
      <c r="J28" s="42"/>
      <c r="K28" s="33" t="str">
        <f t="shared" si="1"/>
        <v/>
      </c>
      <c r="L28" s="34" t="str">
        <f t="shared" si="2"/>
        <v/>
      </c>
      <c r="M28" s="86"/>
      <c r="N28" s="87"/>
    </row>
    <row r="29" spans="2:14" ht="27" customHeight="1" x14ac:dyDescent="0.3">
      <c r="B29" s="71">
        <v>13</v>
      </c>
      <c r="C29" s="57">
        <f t="shared" ca="1" si="0"/>
        <v>46216</v>
      </c>
      <c r="D29" s="64"/>
      <c r="E29" s="28"/>
      <c r="F29" s="54"/>
      <c r="G29" s="26"/>
      <c r="H29" s="29" t="s">
        <v>30</v>
      </c>
      <c r="I29" s="29"/>
      <c r="J29" s="42"/>
      <c r="K29" s="33" t="str">
        <f t="shared" si="1"/>
        <v/>
      </c>
      <c r="L29" s="34" t="str">
        <f t="shared" si="2"/>
        <v/>
      </c>
      <c r="M29" s="86"/>
      <c r="N29" s="87"/>
    </row>
    <row r="30" spans="2:14" ht="27" customHeight="1" x14ac:dyDescent="0.3">
      <c r="B30" s="71">
        <v>14</v>
      </c>
      <c r="C30" s="57">
        <f t="shared" ca="1" si="0"/>
        <v>46217</v>
      </c>
      <c r="D30" s="64"/>
      <c r="E30" s="28"/>
      <c r="F30" s="54"/>
      <c r="G30" s="26"/>
      <c r="H30" s="29" t="s">
        <v>30</v>
      </c>
      <c r="I30" s="29"/>
      <c r="J30" s="42"/>
      <c r="K30" s="33" t="str">
        <f t="shared" si="1"/>
        <v/>
      </c>
      <c r="L30" s="34" t="str">
        <f t="shared" si="2"/>
        <v/>
      </c>
      <c r="M30" s="86"/>
      <c r="N30" s="87"/>
    </row>
    <row r="31" spans="2:14" ht="27" customHeight="1" x14ac:dyDescent="0.3">
      <c r="B31" s="71">
        <v>15</v>
      </c>
      <c r="C31" s="57">
        <f t="shared" ca="1" si="0"/>
        <v>46218</v>
      </c>
      <c r="D31" s="64"/>
      <c r="E31" s="28"/>
      <c r="F31" s="54"/>
      <c r="G31" s="26"/>
      <c r="H31" s="29" t="s">
        <v>30</v>
      </c>
      <c r="I31" s="29"/>
      <c r="J31" s="42"/>
      <c r="K31" s="33" t="str">
        <f t="shared" si="1"/>
        <v/>
      </c>
      <c r="L31" s="34" t="str">
        <f t="shared" si="2"/>
        <v/>
      </c>
      <c r="M31" s="86"/>
      <c r="N31" s="87"/>
    </row>
    <row r="32" spans="2:14" ht="27" customHeight="1" x14ac:dyDescent="0.3">
      <c r="B32" s="71">
        <v>16</v>
      </c>
      <c r="C32" s="57">
        <f t="shared" ca="1" si="0"/>
        <v>46219</v>
      </c>
      <c r="D32" s="64"/>
      <c r="E32" s="28"/>
      <c r="F32" s="54"/>
      <c r="G32" s="26"/>
      <c r="H32" s="29" t="s">
        <v>30</v>
      </c>
      <c r="I32" s="29"/>
      <c r="J32" s="42"/>
      <c r="K32" s="33" t="str">
        <f t="shared" si="1"/>
        <v/>
      </c>
      <c r="L32" s="34" t="str">
        <f t="shared" si="2"/>
        <v/>
      </c>
      <c r="M32" s="86"/>
      <c r="N32" s="87"/>
    </row>
    <row r="33" spans="2:14" ht="27" customHeight="1" x14ac:dyDescent="0.3">
      <c r="B33" s="71">
        <v>17</v>
      </c>
      <c r="C33" s="57">
        <f t="shared" ca="1" si="0"/>
        <v>46220</v>
      </c>
      <c r="D33" s="64"/>
      <c r="E33" s="28"/>
      <c r="F33" s="54"/>
      <c r="G33" s="26"/>
      <c r="H33" s="29" t="s">
        <v>30</v>
      </c>
      <c r="I33" s="29"/>
      <c r="J33" s="42"/>
      <c r="K33" s="33" t="str">
        <f t="shared" si="1"/>
        <v/>
      </c>
      <c r="L33" s="34" t="str">
        <f t="shared" si="2"/>
        <v/>
      </c>
      <c r="M33" s="86"/>
      <c r="N33" s="87"/>
    </row>
    <row r="34" spans="2:14" ht="27" customHeight="1" x14ac:dyDescent="0.3">
      <c r="B34" s="71">
        <v>18</v>
      </c>
      <c r="C34" s="57">
        <f t="shared" ca="1" si="0"/>
        <v>46221</v>
      </c>
      <c r="D34" s="64"/>
      <c r="E34" s="28"/>
      <c r="F34" s="54"/>
      <c r="G34" s="26"/>
      <c r="H34" s="29" t="s">
        <v>30</v>
      </c>
      <c r="I34" s="29"/>
      <c r="J34" s="42"/>
      <c r="K34" s="33" t="str">
        <f t="shared" si="1"/>
        <v/>
      </c>
      <c r="L34" s="34" t="str">
        <f t="shared" si="2"/>
        <v/>
      </c>
      <c r="M34" s="86"/>
      <c r="N34" s="87"/>
    </row>
    <row r="35" spans="2:14" ht="27" customHeight="1" x14ac:dyDescent="0.3">
      <c r="B35" s="71">
        <v>19</v>
      </c>
      <c r="C35" s="57">
        <f t="shared" ca="1" si="0"/>
        <v>46222</v>
      </c>
      <c r="D35" s="64"/>
      <c r="E35" s="28"/>
      <c r="F35" s="54"/>
      <c r="G35" s="26"/>
      <c r="H35" s="29" t="s">
        <v>30</v>
      </c>
      <c r="I35" s="29"/>
      <c r="J35" s="42"/>
      <c r="K35" s="33" t="str">
        <f t="shared" si="1"/>
        <v/>
      </c>
      <c r="L35" s="34" t="str">
        <f t="shared" si="2"/>
        <v/>
      </c>
      <c r="M35" s="86"/>
      <c r="N35" s="87"/>
    </row>
    <row r="36" spans="2:14" ht="27" customHeight="1" x14ac:dyDescent="0.3">
      <c r="B36" s="71">
        <v>20</v>
      </c>
      <c r="C36" s="57">
        <f t="shared" ca="1" si="0"/>
        <v>46223</v>
      </c>
      <c r="D36" s="64"/>
      <c r="E36" s="28"/>
      <c r="F36" s="54"/>
      <c r="G36" s="26"/>
      <c r="H36" s="29" t="s">
        <v>30</v>
      </c>
      <c r="I36" s="29"/>
      <c r="J36" s="42"/>
      <c r="K36" s="33" t="str">
        <f t="shared" si="1"/>
        <v/>
      </c>
      <c r="L36" s="34" t="str">
        <f t="shared" si="2"/>
        <v/>
      </c>
      <c r="M36" s="86"/>
      <c r="N36" s="87"/>
    </row>
    <row r="37" spans="2:14" ht="27" customHeight="1" x14ac:dyDescent="0.3">
      <c r="B37" s="71">
        <v>21</v>
      </c>
      <c r="C37" s="57">
        <f t="shared" ca="1" si="0"/>
        <v>46224</v>
      </c>
      <c r="D37" s="64"/>
      <c r="E37" s="28"/>
      <c r="F37" s="54"/>
      <c r="G37" s="26"/>
      <c r="H37" s="29" t="s">
        <v>30</v>
      </c>
      <c r="I37" s="29"/>
      <c r="J37" s="42"/>
      <c r="K37" s="33" t="str">
        <f t="shared" si="1"/>
        <v/>
      </c>
      <c r="L37" s="34" t="str">
        <f t="shared" si="2"/>
        <v/>
      </c>
      <c r="M37" s="86"/>
      <c r="N37" s="87"/>
    </row>
    <row r="38" spans="2:14" ht="27" customHeight="1" x14ac:dyDescent="0.3">
      <c r="B38" s="71">
        <v>22</v>
      </c>
      <c r="C38" s="57">
        <f t="shared" ca="1" si="0"/>
        <v>46225</v>
      </c>
      <c r="D38" s="64"/>
      <c r="E38" s="28"/>
      <c r="F38" s="54"/>
      <c r="G38" s="26"/>
      <c r="H38" s="29" t="s">
        <v>30</v>
      </c>
      <c r="I38" s="29"/>
      <c r="J38" s="42"/>
      <c r="K38" s="33" t="str">
        <f t="shared" si="1"/>
        <v/>
      </c>
      <c r="L38" s="34" t="str">
        <f t="shared" si="2"/>
        <v/>
      </c>
      <c r="M38" s="86"/>
      <c r="N38" s="87"/>
    </row>
    <row r="39" spans="2:14" ht="27" customHeight="1" x14ac:dyDescent="0.3">
      <c r="B39" s="71">
        <v>23</v>
      </c>
      <c r="C39" s="57">
        <f t="shared" ca="1" si="0"/>
        <v>46226</v>
      </c>
      <c r="D39" s="64"/>
      <c r="E39" s="28"/>
      <c r="F39" s="54"/>
      <c r="G39" s="26"/>
      <c r="H39" s="29" t="s">
        <v>30</v>
      </c>
      <c r="I39" s="29"/>
      <c r="J39" s="42"/>
      <c r="K39" s="33" t="str">
        <f t="shared" si="1"/>
        <v/>
      </c>
      <c r="L39" s="34" t="str">
        <f t="shared" si="2"/>
        <v/>
      </c>
      <c r="M39" s="86"/>
      <c r="N39" s="87"/>
    </row>
    <row r="40" spans="2:14" ht="27" customHeight="1" x14ac:dyDescent="0.3">
      <c r="B40" s="71">
        <v>24</v>
      </c>
      <c r="C40" s="57">
        <f t="shared" ca="1" si="0"/>
        <v>46227</v>
      </c>
      <c r="D40" s="64"/>
      <c r="E40" s="28"/>
      <c r="F40" s="54"/>
      <c r="G40" s="26"/>
      <c r="H40" s="29" t="s">
        <v>30</v>
      </c>
      <c r="I40" s="29"/>
      <c r="J40" s="42"/>
      <c r="K40" s="33" t="str">
        <f t="shared" si="1"/>
        <v/>
      </c>
      <c r="L40" s="34" t="str">
        <f t="shared" si="2"/>
        <v/>
      </c>
      <c r="M40" s="86"/>
      <c r="N40" s="87"/>
    </row>
    <row r="41" spans="2:14" ht="27" customHeight="1" x14ac:dyDescent="0.3">
      <c r="B41" s="71">
        <v>25</v>
      </c>
      <c r="C41" s="57">
        <f t="shared" ca="1" si="0"/>
        <v>46228</v>
      </c>
      <c r="D41" s="64"/>
      <c r="E41" s="28"/>
      <c r="F41" s="54"/>
      <c r="G41" s="26"/>
      <c r="H41" s="29" t="s">
        <v>30</v>
      </c>
      <c r="I41" s="29"/>
      <c r="J41" s="42"/>
      <c r="K41" s="33" t="str">
        <f t="shared" si="1"/>
        <v/>
      </c>
      <c r="L41" s="34" t="str">
        <f t="shared" si="2"/>
        <v/>
      </c>
      <c r="M41" s="86"/>
      <c r="N41" s="87"/>
    </row>
    <row r="42" spans="2:14" ht="27" customHeight="1" x14ac:dyDescent="0.3">
      <c r="B42" s="71">
        <v>26</v>
      </c>
      <c r="C42" s="57">
        <f t="shared" ca="1" si="0"/>
        <v>46229</v>
      </c>
      <c r="D42" s="64"/>
      <c r="E42" s="28"/>
      <c r="F42" s="54"/>
      <c r="G42" s="26"/>
      <c r="H42" s="29" t="s">
        <v>30</v>
      </c>
      <c r="I42" s="29"/>
      <c r="J42" s="42"/>
      <c r="K42" s="33" t="str">
        <f t="shared" si="1"/>
        <v/>
      </c>
      <c r="L42" s="34" t="str">
        <f t="shared" si="2"/>
        <v/>
      </c>
      <c r="M42" s="86"/>
      <c r="N42" s="87"/>
    </row>
    <row r="43" spans="2:14" ht="27" customHeight="1" x14ac:dyDescent="0.3">
      <c r="B43" s="71">
        <v>27</v>
      </c>
      <c r="C43" s="57">
        <f t="shared" ca="1" si="0"/>
        <v>46230</v>
      </c>
      <c r="D43" s="64"/>
      <c r="E43" s="28"/>
      <c r="F43" s="54"/>
      <c r="G43" s="26"/>
      <c r="H43" s="29" t="s">
        <v>30</v>
      </c>
      <c r="I43" s="29"/>
      <c r="J43" s="42"/>
      <c r="K43" s="33" t="str">
        <f t="shared" si="1"/>
        <v/>
      </c>
      <c r="L43" s="34" t="str">
        <f t="shared" si="2"/>
        <v/>
      </c>
      <c r="M43" s="86"/>
      <c r="N43" s="87"/>
    </row>
    <row r="44" spans="2:14" ht="27" customHeight="1" x14ac:dyDescent="0.3">
      <c r="B44" s="71">
        <v>28</v>
      </c>
      <c r="C44" s="57">
        <f t="shared" ca="1" si="0"/>
        <v>46231</v>
      </c>
      <c r="D44" s="64"/>
      <c r="E44" s="28"/>
      <c r="F44" s="54"/>
      <c r="G44" s="26"/>
      <c r="H44" s="29" t="s">
        <v>30</v>
      </c>
      <c r="I44" s="29"/>
      <c r="J44" s="42"/>
      <c r="K44" s="33" t="str">
        <f t="shared" si="1"/>
        <v/>
      </c>
      <c r="L44" s="34" t="str">
        <f t="shared" si="2"/>
        <v/>
      </c>
      <c r="M44" s="86"/>
      <c r="N44" s="87"/>
    </row>
    <row r="45" spans="2:14" ht="27" customHeight="1" x14ac:dyDescent="0.3">
      <c r="B45" s="71">
        <v>29</v>
      </c>
      <c r="C45" s="57">
        <f ca="1">IF(MONTH(DATE(YEAR($D$6),$C$2,B45))&lt;&gt;MONTH($C$44),"공란",DATE(YEAR($D$6),$C$2,B45))</f>
        <v>46232</v>
      </c>
      <c r="D45" s="64"/>
      <c r="E45" s="28"/>
      <c r="F45" s="54"/>
      <c r="G45" s="26"/>
      <c r="H45" s="29" t="s">
        <v>30</v>
      </c>
      <c r="I45" s="29"/>
      <c r="J45" s="42"/>
      <c r="K45" s="33" t="str">
        <f t="shared" si="1"/>
        <v/>
      </c>
      <c r="L45" s="34" t="str">
        <f t="shared" si="2"/>
        <v/>
      </c>
      <c r="M45" s="86"/>
      <c r="N45" s="87"/>
    </row>
    <row r="46" spans="2:14" ht="27" customHeight="1" x14ac:dyDescent="0.3">
      <c r="B46" s="71">
        <v>30</v>
      </c>
      <c r="C46" s="57">
        <f ca="1">IF(MONTH(DATE(YEAR($D$6),$C$2,B46))&lt;&gt;MONTH($C$44),"공란",DATE(YEAR($D$6),$C$2,B46))</f>
        <v>46233</v>
      </c>
      <c r="D46" s="64"/>
      <c r="E46" s="28"/>
      <c r="F46" s="54"/>
      <c r="G46" s="26"/>
      <c r="H46" s="29" t="s">
        <v>30</v>
      </c>
      <c r="I46" s="29"/>
      <c r="J46" s="42"/>
      <c r="K46" s="33" t="str">
        <f t="shared" si="1"/>
        <v/>
      </c>
      <c r="L46" s="34" t="str">
        <f t="shared" si="2"/>
        <v/>
      </c>
      <c r="M46" s="86"/>
      <c r="N46" s="87"/>
    </row>
    <row r="47" spans="2:14" ht="27" customHeight="1" thickBot="1" x14ac:dyDescent="0.35">
      <c r="B47" s="72">
        <v>31</v>
      </c>
      <c r="C47" s="73">
        <f ca="1">IF(MONTH(DATE(YEAR($D$6),$C$2,B47))&lt;&gt;MONTH($C$44),"공란",DATE(YEAR($D$6),$C$2,B47))</f>
        <v>46234</v>
      </c>
      <c r="D47" s="65"/>
      <c r="E47" s="66"/>
      <c r="F47" s="67"/>
      <c r="G47" s="68"/>
      <c r="H47" s="69" t="s">
        <v>30</v>
      </c>
      <c r="I47" s="69"/>
      <c r="J47" s="70"/>
      <c r="K47" s="78" t="str">
        <f t="shared" si="1"/>
        <v/>
      </c>
      <c r="L47" s="79" t="str">
        <f t="shared" si="2"/>
        <v/>
      </c>
      <c r="M47" s="88"/>
      <c r="N47" s="89"/>
    </row>
    <row r="48" spans="2:14" ht="24.95" customHeight="1" thickBot="1" x14ac:dyDescent="0.35">
      <c r="B48" s="83" t="s">
        <v>6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5"/>
    </row>
  </sheetData>
  <sheetProtection algorithmName="SHA-512" hashValue="J3EWbsrFx22J7fGg91qiDOpN+3ETe0/ygceG//6uYm56jDaH7zbAG1eGu6Fi5YvzIr55wSs+zfbqWzwEYXfsuQ==" saltValue="s91u3/gM/kiuGU/D0wokOA==" spinCount="100000" sheet="1" objects="1" scenarios="1" formatRows="0"/>
  <mergeCells count="44">
    <mergeCell ref="P10:Q10"/>
    <mergeCell ref="K14:N14"/>
    <mergeCell ref="K13:N13"/>
    <mergeCell ref="M18:N18"/>
    <mergeCell ref="M19:N19"/>
    <mergeCell ref="C2:K3"/>
    <mergeCell ref="P3:R3"/>
    <mergeCell ref="P5:P7"/>
    <mergeCell ref="Q5:Q7"/>
    <mergeCell ref="R5:R7"/>
    <mergeCell ref="B48:N48"/>
    <mergeCell ref="M33:N33"/>
    <mergeCell ref="M34:N34"/>
    <mergeCell ref="M35:N35"/>
    <mergeCell ref="M26:N26"/>
    <mergeCell ref="M27:N27"/>
    <mergeCell ref="M28:N28"/>
    <mergeCell ref="M29:N29"/>
    <mergeCell ref="M30:N30"/>
    <mergeCell ref="M31:N31"/>
    <mergeCell ref="M32:N32"/>
    <mergeCell ref="M39:N39"/>
    <mergeCell ref="M40:N40"/>
    <mergeCell ref="M46:N46"/>
    <mergeCell ref="M47:N47"/>
    <mergeCell ref="M41:N41"/>
    <mergeCell ref="M42:N42"/>
    <mergeCell ref="M43:N43"/>
    <mergeCell ref="M44:N44"/>
    <mergeCell ref="M45:N45"/>
    <mergeCell ref="B14:J14"/>
    <mergeCell ref="B13:J13"/>
    <mergeCell ref="M36:N36"/>
    <mergeCell ref="M37:N37"/>
    <mergeCell ref="M38:N38"/>
    <mergeCell ref="M21:N21"/>
    <mergeCell ref="M22:N22"/>
    <mergeCell ref="M23:N23"/>
    <mergeCell ref="M24:N24"/>
    <mergeCell ref="M25:N25"/>
    <mergeCell ref="M20:N20"/>
    <mergeCell ref="M15:N15"/>
    <mergeCell ref="M17:N17"/>
    <mergeCell ref="M16:N16"/>
  </mergeCells>
  <phoneticPr fontId="1" type="noConversion"/>
  <conditionalFormatting sqref="F16:F47">
    <cfRule type="cellIs" dxfId="5" priority="2" operator="equal">
      <formula>"O"</formula>
    </cfRule>
  </conditionalFormatting>
  <conditionalFormatting sqref="H16:H47">
    <cfRule type="cellIs" dxfId="4" priority="1" operator="equal">
      <formula>"입력하세요"</formula>
    </cfRule>
    <cfRule type="cellIs" dxfId="3" priority="6" operator="equal">
      <formula>"O"</formula>
    </cfRule>
  </conditionalFormatting>
  <dataValidations count="2">
    <dataValidation type="whole" allowBlank="1" showInputMessage="1" showErrorMessage="1" sqref="C2:O3" xr:uid="{4213CAC8-06E9-4817-95FC-A68461A7EFFC}">
      <formula1>1</formula1>
      <formula2>12</formula2>
    </dataValidation>
    <dataValidation type="list" allowBlank="1" showInputMessage="1" showErrorMessage="1" sqref="H16:H47" xr:uid="{41FF25F0-E183-4499-B182-1836EFA0ED1A}">
      <formula1>"입력하세요,O,X"</formula1>
    </dataValidation>
  </dataValidations>
  <pageMargins left="0.7" right="0.7" top="0.75" bottom="0.75" header="0.3" footer="0.3"/>
  <pageSetup paperSize="9" scale="52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197B-6F81-4A35-AF61-37196FDF0E99}">
  <sheetPr>
    <pageSetUpPr autoPageBreaks="0"/>
  </sheetPr>
  <dimension ref="A1:U65"/>
  <sheetViews>
    <sheetView showGridLines="0" zoomScale="85" zoomScaleNormal="85" workbookViewId="0">
      <selection activeCell="B14" sqref="B14:J14"/>
    </sheetView>
  </sheetViews>
  <sheetFormatPr defaultRowHeight="15.75" x14ac:dyDescent="0.3"/>
  <cols>
    <col min="1" max="1" width="1.25" style="10" customWidth="1"/>
    <col min="2" max="2" width="5.25" style="10" bestFit="1" customWidth="1"/>
    <col min="3" max="3" width="13.875" style="10" bestFit="1" customWidth="1"/>
    <col min="4" max="4" width="25.625" style="10" customWidth="1"/>
    <col min="5" max="6" width="14.5" style="10" customWidth="1"/>
    <col min="7" max="7" width="11.125" style="10" bestFit="1" customWidth="1"/>
    <col min="8" max="8" width="8.75" style="10" bestFit="1" customWidth="1"/>
    <col min="9" max="11" width="9" style="10" bestFit="1" customWidth="1"/>
    <col min="12" max="13" width="11.625" style="39" bestFit="1" customWidth="1"/>
    <col min="14" max="14" width="12.375" style="10" bestFit="1" customWidth="1"/>
    <col min="15" max="15" width="12.375" style="10" customWidth="1"/>
    <col min="16" max="16" width="10.375" style="10" customWidth="1"/>
    <col min="17" max="17" width="9" style="16" bestFit="1" customWidth="1"/>
    <col min="18" max="18" width="14.375" style="16" bestFit="1" customWidth="1"/>
    <col min="19" max="20" width="10.625" style="10" customWidth="1"/>
    <col min="21" max="22" width="9.625" style="10" customWidth="1"/>
    <col min="23" max="240" width="9" style="10"/>
    <col min="241" max="241" width="1.25" style="10" customWidth="1"/>
    <col min="242" max="242" width="7.25" style="10" customWidth="1"/>
    <col min="243" max="243" width="11.25" style="10" bestFit="1" customWidth="1"/>
    <col min="244" max="244" width="8.5" style="10" customWidth="1"/>
    <col min="245" max="245" width="17.375" style="10" customWidth="1"/>
    <col min="246" max="246" width="2.875" style="10" customWidth="1"/>
    <col min="247" max="247" width="4.25" style="10" customWidth="1"/>
    <col min="248" max="248" width="8.25" style="10" customWidth="1"/>
    <col min="249" max="249" width="4.625" style="10" customWidth="1"/>
    <col min="250" max="250" width="4.125" style="10" customWidth="1"/>
    <col min="251" max="251" width="8.625" style="10" customWidth="1"/>
    <col min="252" max="252" width="4.125" style="10" customWidth="1"/>
    <col min="253" max="253" width="4.625" style="10" customWidth="1"/>
    <col min="254" max="254" width="9.375" style="10" customWidth="1"/>
    <col min="255" max="255" width="1.375" style="10" customWidth="1"/>
    <col min="256" max="496" width="9" style="10"/>
    <col min="497" max="497" width="1.25" style="10" customWidth="1"/>
    <col min="498" max="498" width="7.25" style="10" customWidth="1"/>
    <col min="499" max="499" width="11.25" style="10" bestFit="1" customWidth="1"/>
    <col min="500" max="500" width="8.5" style="10" customWidth="1"/>
    <col min="501" max="501" width="17.375" style="10" customWidth="1"/>
    <col min="502" max="502" width="2.875" style="10" customWidth="1"/>
    <col min="503" max="503" width="4.25" style="10" customWidth="1"/>
    <col min="504" max="504" width="8.25" style="10" customWidth="1"/>
    <col min="505" max="505" width="4.625" style="10" customWidth="1"/>
    <col min="506" max="506" width="4.125" style="10" customWidth="1"/>
    <col min="507" max="507" width="8.625" style="10" customWidth="1"/>
    <col min="508" max="508" width="4.125" style="10" customWidth="1"/>
    <col min="509" max="509" width="4.625" style="10" customWidth="1"/>
    <col min="510" max="510" width="9.375" style="10" customWidth="1"/>
    <col min="511" max="511" width="1.375" style="10" customWidth="1"/>
    <col min="512" max="752" width="9" style="10"/>
    <col min="753" max="753" width="1.25" style="10" customWidth="1"/>
    <col min="754" max="754" width="7.25" style="10" customWidth="1"/>
    <col min="755" max="755" width="11.25" style="10" bestFit="1" customWidth="1"/>
    <col min="756" max="756" width="8.5" style="10" customWidth="1"/>
    <col min="757" max="757" width="17.375" style="10" customWidth="1"/>
    <col min="758" max="758" width="2.875" style="10" customWidth="1"/>
    <col min="759" max="759" width="4.25" style="10" customWidth="1"/>
    <col min="760" max="760" width="8.25" style="10" customWidth="1"/>
    <col min="761" max="761" width="4.625" style="10" customWidth="1"/>
    <col min="762" max="762" width="4.125" style="10" customWidth="1"/>
    <col min="763" max="763" width="8.625" style="10" customWidth="1"/>
    <col min="764" max="764" width="4.125" style="10" customWidth="1"/>
    <col min="765" max="765" width="4.625" style="10" customWidth="1"/>
    <col min="766" max="766" width="9.375" style="10" customWidth="1"/>
    <col min="767" max="767" width="1.375" style="10" customWidth="1"/>
    <col min="768" max="1008" width="9" style="10"/>
    <col min="1009" max="1009" width="1.25" style="10" customWidth="1"/>
    <col min="1010" max="1010" width="7.25" style="10" customWidth="1"/>
    <col min="1011" max="1011" width="11.25" style="10" bestFit="1" customWidth="1"/>
    <col min="1012" max="1012" width="8.5" style="10" customWidth="1"/>
    <col min="1013" max="1013" width="17.375" style="10" customWidth="1"/>
    <col min="1014" max="1014" width="2.875" style="10" customWidth="1"/>
    <col min="1015" max="1015" width="4.25" style="10" customWidth="1"/>
    <col min="1016" max="1016" width="8.25" style="10" customWidth="1"/>
    <col min="1017" max="1017" width="4.625" style="10" customWidth="1"/>
    <col min="1018" max="1018" width="4.125" style="10" customWidth="1"/>
    <col min="1019" max="1019" width="8.625" style="10" customWidth="1"/>
    <col min="1020" max="1020" width="4.125" style="10" customWidth="1"/>
    <col min="1021" max="1021" width="4.625" style="10" customWidth="1"/>
    <col min="1022" max="1022" width="9.375" style="10" customWidth="1"/>
    <col min="1023" max="1023" width="1.375" style="10" customWidth="1"/>
    <col min="1024" max="1264" width="9" style="10"/>
    <col min="1265" max="1265" width="1.25" style="10" customWidth="1"/>
    <col min="1266" max="1266" width="7.25" style="10" customWidth="1"/>
    <col min="1267" max="1267" width="11.25" style="10" bestFit="1" customWidth="1"/>
    <col min="1268" max="1268" width="8.5" style="10" customWidth="1"/>
    <col min="1269" max="1269" width="17.375" style="10" customWidth="1"/>
    <col min="1270" max="1270" width="2.875" style="10" customWidth="1"/>
    <col min="1271" max="1271" width="4.25" style="10" customWidth="1"/>
    <col min="1272" max="1272" width="8.25" style="10" customWidth="1"/>
    <col min="1273" max="1273" width="4.625" style="10" customWidth="1"/>
    <col min="1274" max="1274" width="4.125" style="10" customWidth="1"/>
    <col min="1275" max="1275" width="8.625" style="10" customWidth="1"/>
    <col min="1276" max="1276" width="4.125" style="10" customWidth="1"/>
    <col min="1277" max="1277" width="4.625" style="10" customWidth="1"/>
    <col min="1278" max="1278" width="9.375" style="10" customWidth="1"/>
    <col min="1279" max="1279" width="1.375" style="10" customWidth="1"/>
    <col min="1280" max="1520" width="9" style="10"/>
    <col min="1521" max="1521" width="1.25" style="10" customWidth="1"/>
    <col min="1522" max="1522" width="7.25" style="10" customWidth="1"/>
    <col min="1523" max="1523" width="11.25" style="10" bestFit="1" customWidth="1"/>
    <col min="1524" max="1524" width="8.5" style="10" customWidth="1"/>
    <col min="1525" max="1525" width="17.375" style="10" customWidth="1"/>
    <col min="1526" max="1526" width="2.875" style="10" customWidth="1"/>
    <col min="1527" max="1527" width="4.25" style="10" customWidth="1"/>
    <col min="1528" max="1528" width="8.25" style="10" customWidth="1"/>
    <col min="1529" max="1529" width="4.625" style="10" customWidth="1"/>
    <col min="1530" max="1530" width="4.125" style="10" customWidth="1"/>
    <col min="1531" max="1531" width="8.625" style="10" customWidth="1"/>
    <col min="1532" max="1532" width="4.125" style="10" customWidth="1"/>
    <col min="1533" max="1533" width="4.625" style="10" customWidth="1"/>
    <col min="1534" max="1534" width="9.375" style="10" customWidth="1"/>
    <col min="1535" max="1535" width="1.375" style="10" customWidth="1"/>
    <col min="1536" max="1776" width="9" style="10"/>
    <col min="1777" max="1777" width="1.25" style="10" customWidth="1"/>
    <col min="1778" max="1778" width="7.25" style="10" customWidth="1"/>
    <col min="1779" max="1779" width="11.25" style="10" bestFit="1" customWidth="1"/>
    <col min="1780" max="1780" width="8.5" style="10" customWidth="1"/>
    <col min="1781" max="1781" width="17.375" style="10" customWidth="1"/>
    <col min="1782" max="1782" width="2.875" style="10" customWidth="1"/>
    <col min="1783" max="1783" width="4.25" style="10" customWidth="1"/>
    <col min="1784" max="1784" width="8.25" style="10" customWidth="1"/>
    <col min="1785" max="1785" width="4.625" style="10" customWidth="1"/>
    <col min="1786" max="1786" width="4.125" style="10" customWidth="1"/>
    <col min="1787" max="1787" width="8.625" style="10" customWidth="1"/>
    <col min="1788" max="1788" width="4.125" style="10" customWidth="1"/>
    <col min="1789" max="1789" width="4.625" style="10" customWidth="1"/>
    <col min="1790" max="1790" width="9.375" style="10" customWidth="1"/>
    <col min="1791" max="1791" width="1.375" style="10" customWidth="1"/>
    <col min="1792" max="2032" width="9" style="10"/>
    <col min="2033" max="2033" width="1.25" style="10" customWidth="1"/>
    <col min="2034" max="2034" width="7.25" style="10" customWidth="1"/>
    <col min="2035" max="2035" width="11.25" style="10" bestFit="1" customWidth="1"/>
    <col min="2036" max="2036" width="8.5" style="10" customWidth="1"/>
    <col min="2037" max="2037" width="17.375" style="10" customWidth="1"/>
    <col min="2038" max="2038" width="2.875" style="10" customWidth="1"/>
    <col min="2039" max="2039" width="4.25" style="10" customWidth="1"/>
    <col min="2040" max="2040" width="8.25" style="10" customWidth="1"/>
    <col min="2041" max="2041" width="4.625" style="10" customWidth="1"/>
    <col min="2042" max="2042" width="4.125" style="10" customWidth="1"/>
    <col min="2043" max="2043" width="8.625" style="10" customWidth="1"/>
    <col min="2044" max="2044" width="4.125" style="10" customWidth="1"/>
    <col min="2045" max="2045" width="4.625" style="10" customWidth="1"/>
    <col min="2046" max="2046" width="9.375" style="10" customWidth="1"/>
    <col min="2047" max="2047" width="1.375" style="10" customWidth="1"/>
    <col min="2048" max="2288" width="9" style="10"/>
    <col min="2289" max="2289" width="1.25" style="10" customWidth="1"/>
    <col min="2290" max="2290" width="7.25" style="10" customWidth="1"/>
    <col min="2291" max="2291" width="11.25" style="10" bestFit="1" customWidth="1"/>
    <col min="2292" max="2292" width="8.5" style="10" customWidth="1"/>
    <col min="2293" max="2293" width="17.375" style="10" customWidth="1"/>
    <col min="2294" max="2294" width="2.875" style="10" customWidth="1"/>
    <col min="2295" max="2295" width="4.25" style="10" customWidth="1"/>
    <col min="2296" max="2296" width="8.25" style="10" customWidth="1"/>
    <col min="2297" max="2297" width="4.625" style="10" customWidth="1"/>
    <col min="2298" max="2298" width="4.125" style="10" customWidth="1"/>
    <col min="2299" max="2299" width="8.625" style="10" customWidth="1"/>
    <col min="2300" max="2300" width="4.125" style="10" customWidth="1"/>
    <col min="2301" max="2301" width="4.625" style="10" customWidth="1"/>
    <col min="2302" max="2302" width="9.375" style="10" customWidth="1"/>
    <col min="2303" max="2303" width="1.375" style="10" customWidth="1"/>
    <col min="2304" max="2544" width="9" style="10"/>
    <col min="2545" max="2545" width="1.25" style="10" customWidth="1"/>
    <col min="2546" max="2546" width="7.25" style="10" customWidth="1"/>
    <col min="2547" max="2547" width="11.25" style="10" bestFit="1" customWidth="1"/>
    <col min="2548" max="2548" width="8.5" style="10" customWidth="1"/>
    <col min="2549" max="2549" width="17.375" style="10" customWidth="1"/>
    <col min="2550" max="2550" width="2.875" style="10" customWidth="1"/>
    <col min="2551" max="2551" width="4.25" style="10" customWidth="1"/>
    <col min="2552" max="2552" width="8.25" style="10" customWidth="1"/>
    <col min="2553" max="2553" width="4.625" style="10" customWidth="1"/>
    <col min="2554" max="2554" width="4.125" style="10" customWidth="1"/>
    <col min="2555" max="2555" width="8.625" style="10" customWidth="1"/>
    <col min="2556" max="2556" width="4.125" style="10" customWidth="1"/>
    <col min="2557" max="2557" width="4.625" style="10" customWidth="1"/>
    <col min="2558" max="2558" width="9.375" style="10" customWidth="1"/>
    <col min="2559" max="2559" width="1.375" style="10" customWidth="1"/>
    <col min="2560" max="2800" width="9" style="10"/>
    <col min="2801" max="2801" width="1.25" style="10" customWidth="1"/>
    <col min="2802" max="2802" width="7.25" style="10" customWidth="1"/>
    <col min="2803" max="2803" width="11.25" style="10" bestFit="1" customWidth="1"/>
    <col min="2804" max="2804" width="8.5" style="10" customWidth="1"/>
    <col min="2805" max="2805" width="17.375" style="10" customWidth="1"/>
    <col min="2806" max="2806" width="2.875" style="10" customWidth="1"/>
    <col min="2807" max="2807" width="4.25" style="10" customWidth="1"/>
    <col min="2808" max="2808" width="8.25" style="10" customWidth="1"/>
    <col min="2809" max="2809" width="4.625" style="10" customWidth="1"/>
    <col min="2810" max="2810" width="4.125" style="10" customWidth="1"/>
    <col min="2811" max="2811" width="8.625" style="10" customWidth="1"/>
    <col min="2812" max="2812" width="4.125" style="10" customWidth="1"/>
    <col min="2813" max="2813" width="4.625" style="10" customWidth="1"/>
    <col min="2814" max="2814" width="9.375" style="10" customWidth="1"/>
    <col min="2815" max="2815" width="1.375" style="10" customWidth="1"/>
    <col min="2816" max="3056" width="9" style="10"/>
    <col min="3057" max="3057" width="1.25" style="10" customWidth="1"/>
    <col min="3058" max="3058" width="7.25" style="10" customWidth="1"/>
    <col min="3059" max="3059" width="11.25" style="10" bestFit="1" customWidth="1"/>
    <col min="3060" max="3060" width="8.5" style="10" customWidth="1"/>
    <col min="3061" max="3061" width="17.375" style="10" customWidth="1"/>
    <col min="3062" max="3062" width="2.875" style="10" customWidth="1"/>
    <col min="3063" max="3063" width="4.25" style="10" customWidth="1"/>
    <col min="3064" max="3064" width="8.25" style="10" customWidth="1"/>
    <col min="3065" max="3065" width="4.625" style="10" customWidth="1"/>
    <col min="3066" max="3066" width="4.125" style="10" customWidth="1"/>
    <col min="3067" max="3067" width="8.625" style="10" customWidth="1"/>
    <col min="3068" max="3068" width="4.125" style="10" customWidth="1"/>
    <col min="3069" max="3069" width="4.625" style="10" customWidth="1"/>
    <col min="3070" max="3070" width="9.375" style="10" customWidth="1"/>
    <col min="3071" max="3071" width="1.375" style="10" customWidth="1"/>
    <col min="3072" max="3312" width="9" style="10"/>
    <col min="3313" max="3313" width="1.25" style="10" customWidth="1"/>
    <col min="3314" max="3314" width="7.25" style="10" customWidth="1"/>
    <col min="3315" max="3315" width="11.25" style="10" bestFit="1" customWidth="1"/>
    <col min="3316" max="3316" width="8.5" style="10" customWidth="1"/>
    <col min="3317" max="3317" width="17.375" style="10" customWidth="1"/>
    <col min="3318" max="3318" width="2.875" style="10" customWidth="1"/>
    <col min="3319" max="3319" width="4.25" style="10" customWidth="1"/>
    <col min="3320" max="3320" width="8.25" style="10" customWidth="1"/>
    <col min="3321" max="3321" width="4.625" style="10" customWidth="1"/>
    <col min="3322" max="3322" width="4.125" style="10" customWidth="1"/>
    <col min="3323" max="3323" width="8.625" style="10" customWidth="1"/>
    <col min="3324" max="3324" width="4.125" style="10" customWidth="1"/>
    <col min="3325" max="3325" width="4.625" style="10" customWidth="1"/>
    <col min="3326" max="3326" width="9.375" style="10" customWidth="1"/>
    <col min="3327" max="3327" width="1.375" style="10" customWidth="1"/>
    <col min="3328" max="3568" width="9" style="10"/>
    <col min="3569" max="3569" width="1.25" style="10" customWidth="1"/>
    <col min="3570" max="3570" width="7.25" style="10" customWidth="1"/>
    <col min="3571" max="3571" width="11.25" style="10" bestFit="1" customWidth="1"/>
    <col min="3572" max="3572" width="8.5" style="10" customWidth="1"/>
    <col min="3573" max="3573" width="17.375" style="10" customWidth="1"/>
    <col min="3574" max="3574" width="2.875" style="10" customWidth="1"/>
    <col min="3575" max="3575" width="4.25" style="10" customWidth="1"/>
    <col min="3576" max="3576" width="8.25" style="10" customWidth="1"/>
    <col min="3577" max="3577" width="4.625" style="10" customWidth="1"/>
    <col min="3578" max="3578" width="4.125" style="10" customWidth="1"/>
    <col min="3579" max="3579" width="8.625" style="10" customWidth="1"/>
    <col min="3580" max="3580" width="4.125" style="10" customWidth="1"/>
    <col min="3581" max="3581" width="4.625" style="10" customWidth="1"/>
    <col min="3582" max="3582" width="9.375" style="10" customWidth="1"/>
    <col min="3583" max="3583" width="1.375" style="10" customWidth="1"/>
    <col min="3584" max="3824" width="9" style="10"/>
    <col min="3825" max="3825" width="1.25" style="10" customWidth="1"/>
    <col min="3826" max="3826" width="7.25" style="10" customWidth="1"/>
    <col min="3827" max="3827" width="11.25" style="10" bestFit="1" customWidth="1"/>
    <col min="3828" max="3828" width="8.5" style="10" customWidth="1"/>
    <col min="3829" max="3829" width="17.375" style="10" customWidth="1"/>
    <col min="3830" max="3830" width="2.875" style="10" customWidth="1"/>
    <col min="3831" max="3831" width="4.25" style="10" customWidth="1"/>
    <col min="3832" max="3832" width="8.25" style="10" customWidth="1"/>
    <col min="3833" max="3833" width="4.625" style="10" customWidth="1"/>
    <col min="3834" max="3834" width="4.125" style="10" customWidth="1"/>
    <col min="3835" max="3835" width="8.625" style="10" customWidth="1"/>
    <col min="3836" max="3836" width="4.125" style="10" customWidth="1"/>
    <col min="3837" max="3837" width="4.625" style="10" customWidth="1"/>
    <col min="3838" max="3838" width="9.375" style="10" customWidth="1"/>
    <col min="3839" max="3839" width="1.375" style="10" customWidth="1"/>
    <col min="3840" max="4080" width="9" style="10"/>
    <col min="4081" max="4081" width="1.25" style="10" customWidth="1"/>
    <col min="4082" max="4082" width="7.25" style="10" customWidth="1"/>
    <col min="4083" max="4083" width="11.25" style="10" bestFit="1" customWidth="1"/>
    <col min="4084" max="4084" width="8.5" style="10" customWidth="1"/>
    <col min="4085" max="4085" width="17.375" style="10" customWidth="1"/>
    <col min="4086" max="4086" width="2.875" style="10" customWidth="1"/>
    <col min="4087" max="4087" width="4.25" style="10" customWidth="1"/>
    <col min="4088" max="4088" width="8.25" style="10" customWidth="1"/>
    <col min="4089" max="4089" width="4.625" style="10" customWidth="1"/>
    <col min="4090" max="4090" width="4.125" style="10" customWidth="1"/>
    <col min="4091" max="4091" width="8.625" style="10" customWidth="1"/>
    <col min="4092" max="4092" width="4.125" style="10" customWidth="1"/>
    <col min="4093" max="4093" width="4.625" style="10" customWidth="1"/>
    <col min="4094" max="4094" width="9.375" style="10" customWidth="1"/>
    <col min="4095" max="4095" width="1.375" style="10" customWidth="1"/>
    <col min="4096" max="4336" width="9" style="10"/>
    <col min="4337" max="4337" width="1.25" style="10" customWidth="1"/>
    <col min="4338" max="4338" width="7.25" style="10" customWidth="1"/>
    <col min="4339" max="4339" width="11.25" style="10" bestFit="1" customWidth="1"/>
    <col min="4340" max="4340" width="8.5" style="10" customWidth="1"/>
    <col min="4341" max="4341" width="17.375" style="10" customWidth="1"/>
    <col min="4342" max="4342" width="2.875" style="10" customWidth="1"/>
    <col min="4343" max="4343" width="4.25" style="10" customWidth="1"/>
    <col min="4344" max="4344" width="8.25" style="10" customWidth="1"/>
    <col min="4345" max="4345" width="4.625" style="10" customWidth="1"/>
    <col min="4346" max="4346" width="4.125" style="10" customWidth="1"/>
    <col min="4347" max="4347" width="8.625" style="10" customWidth="1"/>
    <col min="4348" max="4348" width="4.125" style="10" customWidth="1"/>
    <col min="4349" max="4349" width="4.625" style="10" customWidth="1"/>
    <col min="4350" max="4350" width="9.375" style="10" customWidth="1"/>
    <col min="4351" max="4351" width="1.375" style="10" customWidth="1"/>
    <col min="4352" max="4592" width="9" style="10"/>
    <col min="4593" max="4593" width="1.25" style="10" customWidth="1"/>
    <col min="4594" max="4594" width="7.25" style="10" customWidth="1"/>
    <col min="4595" max="4595" width="11.25" style="10" bestFit="1" customWidth="1"/>
    <col min="4596" max="4596" width="8.5" style="10" customWidth="1"/>
    <col min="4597" max="4597" width="17.375" style="10" customWidth="1"/>
    <col min="4598" max="4598" width="2.875" style="10" customWidth="1"/>
    <col min="4599" max="4599" width="4.25" style="10" customWidth="1"/>
    <col min="4600" max="4600" width="8.25" style="10" customWidth="1"/>
    <col min="4601" max="4601" width="4.625" style="10" customWidth="1"/>
    <col min="4602" max="4602" width="4.125" style="10" customWidth="1"/>
    <col min="4603" max="4603" width="8.625" style="10" customWidth="1"/>
    <col min="4604" max="4604" width="4.125" style="10" customWidth="1"/>
    <col min="4605" max="4605" width="4.625" style="10" customWidth="1"/>
    <col min="4606" max="4606" width="9.375" style="10" customWidth="1"/>
    <col min="4607" max="4607" width="1.375" style="10" customWidth="1"/>
    <col min="4608" max="4848" width="9" style="10"/>
    <col min="4849" max="4849" width="1.25" style="10" customWidth="1"/>
    <col min="4850" max="4850" width="7.25" style="10" customWidth="1"/>
    <col min="4851" max="4851" width="11.25" style="10" bestFit="1" customWidth="1"/>
    <col min="4852" max="4852" width="8.5" style="10" customWidth="1"/>
    <col min="4853" max="4853" width="17.375" style="10" customWidth="1"/>
    <col min="4854" max="4854" width="2.875" style="10" customWidth="1"/>
    <col min="4855" max="4855" width="4.25" style="10" customWidth="1"/>
    <col min="4856" max="4856" width="8.25" style="10" customWidth="1"/>
    <col min="4857" max="4857" width="4.625" style="10" customWidth="1"/>
    <col min="4858" max="4858" width="4.125" style="10" customWidth="1"/>
    <col min="4859" max="4859" width="8.625" style="10" customWidth="1"/>
    <col min="4860" max="4860" width="4.125" style="10" customWidth="1"/>
    <col min="4861" max="4861" width="4.625" style="10" customWidth="1"/>
    <col min="4862" max="4862" width="9.375" style="10" customWidth="1"/>
    <col min="4863" max="4863" width="1.375" style="10" customWidth="1"/>
    <col min="4864" max="5104" width="9" style="10"/>
    <col min="5105" max="5105" width="1.25" style="10" customWidth="1"/>
    <col min="5106" max="5106" width="7.25" style="10" customWidth="1"/>
    <col min="5107" max="5107" width="11.25" style="10" bestFit="1" customWidth="1"/>
    <col min="5108" max="5108" width="8.5" style="10" customWidth="1"/>
    <col min="5109" max="5109" width="17.375" style="10" customWidth="1"/>
    <col min="5110" max="5110" width="2.875" style="10" customWidth="1"/>
    <col min="5111" max="5111" width="4.25" style="10" customWidth="1"/>
    <col min="5112" max="5112" width="8.25" style="10" customWidth="1"/>
    <col min="5113" max="5113" width="4.625" style="10" customWidth="1"/>
    <col min="5114" max="5114" width="4.125" style="10" customWidth="1"/>
    <col min="5115" max="5115" width="8.625" style="10" customWidth="1"/>
    <col min="5116" max="5116" width="4.125" style="10" customWidth="1"/>
    <col min="5117" max="5117" width="4.625" style="10" customWidth="1"/>
    <col min="5118" max="5118" width="9.375" style="10" customWidth="1"/>
    <col min="5119" max="5119" width="1.375" style="10" customWidth="1"/>
    <col min="5120" max="5360" width="9" style="10"/>
    <col min="5361" max="5361" width="1.25" style="10" customWidth="1"/>
    <col min="5362" max="5362" width="7.25" style="10" customWidth="1"/>
    <col min="5363" max="5363" width="11.25" style="10" bestFit="1" customWidth="1"/>
    <col min="5364" max="5364" width="8.5" style="10" customWidth="1"/>
    <col min="5365" max="5365" width="17.375" style="10" customWidth="1"/>
    <col min="5366" max="5366" width="2.875" style="10" customWidth="1"/>
    <col min="5367" max="5367" width="4.25" style="10" customWidth="1"/>
    <col min="5368" max="5368" width="8.25" style="10" customWidth="1"/>
    <col min="5369" max="5369" width="4.625" style="10" customWidth="1"/>
    <col min="5370" max="5370" width="4.125" style="10" customWidth="1"/>
    <col min="5371" max="5371" width="8.625" style="10" customWidth="1"/>
    <col min="5372" max="5372" width="4.125" style="10" customWidth="1"/>
    <col min="5373" max="5373" width="4.625" style="10" customWidth="1"/>
    <col min="5374" max="5374" width="9.375" style="10" customWidth="1"/>
    <col min="5375" max="5375" width="1.375" style="10" customWidth="1"/>
    <col min="5376" max="5616" width="9" style="10"/>
    <col min="5617" max="5617" width="1.25" style="10" customWidth="1"/>
    <col min="5618" max="5618" width="7.25" style="10" customWidth="1"/>
    <col min="5619" max="5619" width="11.25" style="10" bestFit="1" customWidth="1"/>
    <col min="5620" max="5620" width="8.5" style="10" customWidth="1"/>
    <col min="5621" max="5621" width="17.375" style="10" customWidth="1"/>
    <col min="5622" max="5622" width="2.875" style="10" customWidth="1"/>
    <col min="5623" max="5623" width="4.25" style="10" customWidth="1"/>
    <col min="5624" max="5624" width="8.25" style="10" customWidth="1"/>
    <col min="5625" max="5625" width="4.625" style="10" customWidth="1"/>
    <col min="5626" max="5626" width="4.125" style="10" customWidth="1"/>
    <col min="5627" max="5627" width="8.625" style="10" customWidth="1"/>
    <col min="5628" max="5628" width="4.125" style="10" customWidth="1"/>
    <col min="5629" max="5629" width="4.625" style="10" customWidth="1"/>
    <col min="5630" max="5630" width="9.375" style="10" customWidth="1"/>
    <col min="5631" max="5631" width="1.375" style="10" customWidth="1"/>
    <col min="5632" max="5872" width="9" style="10"/>
    <col min="5873" max="5873" width="1.25" style="10" customWidth="1"/>
    <col min="5874" max="5874" width="7.25" style="10" customWidth="1"/>
    <col min="5875" max="5875" width="11.25" style="10" bestFit="1" customWidth="1"/>
    <col min="5876" max="5876" width="8.5" style="10" customWidth="1"/>
    <col min="5877" max="5877" width="17.375" style="10" customWidth="1"/>
    <col min="5878" max="5878" width="2.875" style="10" customWidth="1"/>
    <col min="5879" max="5879" width="4.25" style="10" customWidth="1"/>
    <col min="5880" max="5880" width="8.25" style="10" customWidth="1"/>
    <col min="5881" max="5881" width="4.625" style="10" customWidth="1"/>
    <col min="5882" max="5882" width="4.125" style="10" customWidth="1"/>
    <col min="5883" max="5883" width="8.625" style="10" customWidth="1"/>
    <col min="5884" max="5884" width="4.125" style="10" customWidth="1"/>
    <col min="5885" max="5885" width="4.625" style="10" customWidth="1"/>
    <col min="5886" max="5886" width="9.375" style="10" customWidth="1"/>
    <col min="5887" max="5887" width="1.375" style="10" customWidth="1"/>
    <col min="5888" max="6128" width="9" style="10"/>
    <col min="6129" max="6129" width="1.25" style="10" customWidth="1"/>
    <col min="6130" max="6130" width="7.25" style="10" customWidth="1"/>
    <col min="6131" max="6131" width="11.25" style="10" bestFit="1" customWidth="1"/>
    <col min="6132" max="6132" width="8.5" style="10" customWidth="1"/>
    <col min="6133" max="6133" width="17.375" style="10" customWidth="1"/>
    <col min="6134" max="6134" width="2.875" style="10" customWidth="1"/>
    <col min="6135" max="6135" width="4.25" style="10" customWidth="1"/>
    <col min="6136" max="6136" width="8.25" style="10" customWidth="1"/>
    <col min="6137" max="6137" width="4.625" style="10" customWidth="1"/>
    <col min="6138" max="6138" width="4.125" style="10" customWidth="1"/>
    <col min="6139" max="6139" width="8.625" style="10" customWidth="1"/>
    <col min="6140" max="6140" width="4.125" style="10" customWidth="1"/>
    <col min="6141" max="6141" width="4.625" style="10" customWidth="1"/>
    <col min="6142" max="6142" width="9.375" style="10" customWidth="1"/>
    <col min="6143" max="6143" width="1.375" style="10" customWidth="1"/>
    <col min="6144" max="6384" width="9" style="10"/>
    <col min="6385" max="6385" width="1.25" style="10" customWidth="1"/>
    <col min="6386" max="6386" width="7.25" style="10" customWidth="1"/>
    <col min="6387" max="6387" width="11.25" style="10" bestFit="1" customWidth="1"/>
    <col min="6388" max="6388" width="8.5" style="10" customWidth="1"/>
    <col min="6389" max="6389" width="17.375" style="10" customWidth="1"/>
    <col min="6390" max="6390" width="2.875" style="10" customWidth="1"/>
    <col min="6391" max="6391" width="4.25" style="10" customWidth="1"/>
    <col min="6392" max="6392" width="8.25" style="10" customWidth="1"/>
    <col min="6393" max="6393" width="4.625" style="10" customWidth="1"/>
    <col min="6394" max="6394" width="4.125" style="10" customWidth="1"/>
    <col min="6395" max="6395" width="8.625" style="10" customWidth="1"/>
    <col min="6396" max="6396" width="4.125" style="10" customWidth="1"/>
    <col min="6397" max="6397" width="4.625" style="10" customWidth="1"/>
    <col min="6398" max="6398" width="9.375" style="10" customWidth="1"/>
    <col min="6399" max="6399" width="1.375" style="10" customWidth="1"/>
    <col min="6400" max="6640" width="9" style="10"/>
    <col min="6641" max="6641" width="1.25" style="10" customWidth="1"/>
    <col min="6642" max="6642" width="7.25" style="10" customWidth="1"/>
    <col min="6643" max="6643" width="11.25" style="10" bestFit="1" customWidth="1"/>
    <col min="6644" max="6644" width="8.5" style="10" customWidth="1"/>
    <col min="6645" max="6645" width="17.375" style="10" customWidth="1"/>
    <col min="6646" max="6646" width="2.875" style="10" customWidth="1"/>
    <col min="6647" max="6647" width="4.25" style="10" customWidth="1"/>
    <col min="6648" max="6648" width="8.25" style="10" customWidth="1"/>
    <col min="6649" max="6649" width="4.625" style="10" customWidth="1"/>
    <col min="6650" max="6650" width="4.125" style="10" customWidth="1"/>
    <col min="6651" max="6651" width="8.625" style="10" customWidth="1"/>
    <col min="6652" max="6652" width="4.125" style="10" customWidth="1"/>
    <col min="6653" max="6653" width="4.625" style="10" customWidth="1"/>
    <col min="6654" max="6654" width="9.375" style="10" customWidth="1"/>
    <col min="6655" max="6655" width="1.375" style="10" customWidth="1"/>
    <col min="6656" max="6896" width="9" style="10"/>
    <col min="6897" max="6897" width="1.25" style="10" customWidth="1"/>
    <col min="6898" max="6898" width="7.25" style="10" customWidth="1"/>
    <col min="6899" max="6899" width="11.25" style="10" bestFit="1" customWidth="1"/>
    <col min="6900" max="6900" width="8.5" style="10" customWidth="1"/>
    <col min="6901" max="6901" width="17.375" style="10" customWidth="1"/>
    <col min="6902" max="6902" width="2.875" style="10" customWidth="1"/>
    <col min="6903" max="6903" width="4.25" style="10" customWidth="1"/>
    <col min="6904" max="6904" width="8.25" style="10" customWidth="1"/>
    <col min="6905" max="6905" width="4.625" style="10" customWidth="1"/>
    <col min="6906" max="6906" width="4.125" style="10" customWidth="1"/>
    <col min="6907" max="6907" width="8.625" style="10" customWidth="1"/>
    <col min="6908" max="6908" width="4.125" style="10" customWidth="1"/>
    <col min="6909" max="6909" width="4.625" style="10" customWidth="1"/>
    <col min="6910" max="6910" width="9.375" style="10" customWidth="1"/>
    <col min="6911" max="6911" width="1.375" style="10" customWidth="1"/>
    <col min="6912" max="7152" width="9" style="10"/>
    <col min="7153" max="7153" width="1.25" style="10" customWidth="1"/>
    <col min="7154" max="7154" width="7.25" style="10" customWidth="1"/>
    <col min="7155" max="7155" width="11.25" style="10" bestFit="1" customWidth="1"/>
    <col min="7156" max="7156" width="8.5" style="10" customWidth="1"/>
    <col min="7157" max="7157" width="17.375" style="10" customWidth="1"/>
    <col min="7158" max="7158" width="2.875" style="10" customWidth="1"/>
    <col min="7159" max="7159" width="4.25" style="10" customWidth="1"/>
    <col min="7160" max="7160" width="8.25" style="10" customWidth="1"/>
    <col min="7161" max="7161" width="4.625" style="10" customWidth="1"/>
    <col min="7162" max="7162" width="4.125" style="10" customWidth="1"/>
    <col min="7163" max="7163" width="8.625" style="10" customWidth="1"/>
    <col min="7164" max="7164" width="4.125" style="10" customWidth="1"/>
    <col min="7165" max="7165" width="4.625" style="10" customWidth="1"/>
    <col min="7166" max="7166" width="9.375" style="10" customWidth="1"/>
    <col min="7167" max="7167" width="1.375" style="10" customWidth="1"/>
    <col min="7168" max="7408" width="9" style="10"/>
    <col min="7409" max="7409" width="1.25" style="10" customWidth="1"/>
    <col min="7410" max="7410" width="7.25" style="10" customWidth="1"/>
    <col min="7411" max="7411" width="11.25" style="10" bestFit="1" customWidth="1"/>
    <col min="7412" max="7412" width="8.5" style="10" customWidth="1"/>
    <col min="7413" max="7413" width="17.375" style="10" customWidth="1"/>
    <col min="7414" max="7414" width="2.875" style="10" customWidth="1"/>
    <col min="7415" max="7415" width="4.25" style="10" customWidth="1"/>
    <col min="7416" max="7416" width="8.25" style="10" customWidth="1"/>
    <col min="7417" max="7417" width="4.625" style="10" customWidth="1"/>
    <col min="7418" max="7418" width="4.125" style="10" customWidth="1"/>
    <col min="7419" max="7419" width="8.625" style="10" customWidth="1"/>
    <col min="7420" max="7420" width="4.125" style="10" customWidth="1"/>
    <col min="7421" max="7421" width="4.625" style="10" customWidth="1"/>
    <col min="7422" max="7422" width="9.375" style="10" customWidth="1"/>
    <col min="7423" max="7423" width="1.375" style="10" customWidth="1"/>
    <col min="7424" max="7664" width="9" style="10"/>
    <col min="7665" max="7665" width="1.25" style="10" customWidth="1"/>
    <col min="7666" max="7666" width="7.25" style="10" customWidth="1"/>
    <col min="7667" max="7667" width="11.25" style="10" bestFit="1" customWidth="1"/>
    <col min="7668" max="7668" width="8.5" style="10" customWidth="1"/>
    <col min="7669" max="7669" width="17.375" style="10" customWidth="1"/>
    <col min="7670" max="7670" width="2.875" style="10" customWidth="1"/>
    <col min="7671" max="7671" width="4.25" style="10" customWidth="1"/>
    <col min="7672" max="7672" width="8.25" style="10" customWidth="1"/>
    <col min="7673" max="7673" width="4.625" style="10" customWidth="1"/>
    <col min="7674" max="7674" width="4.125" style="10" customWidth="1"/>
    <col min="7675" max="7675" width="8.625" style="10" customWidth="1"/>
    <col min="7676" max="7676" width="4.125" style="10" customWidth="1"/>
    <col min="7677" max="7677" width="4.625" style="10" customWidth="1"/>
    <col min="7678" max="7678" width="9.375" style="10" customWidth="1"/>
    <col min="7679" max="7679" width="1.375" style="10" customWidth="1"/>
    <col min="7680" max="7920" width="9" style="10"/>
    <col min="7921" max="7921" width="1.25" style="10" customWidth="1"/>
    <col min="7922" max="7922" width="7.25" style="10" customWidth="1"/>
    <col min="7923" max="7923" width="11.25" style="10" bestFit="1" customWidth="1"/>
    <col min="7924" max="7924" width="8.5" style="10" customWidth="1"/>
    <col min="7925" max="7925" width="17.375" style="10" customWidth="1"/>
    <col min="7926" max="7926" width="2.875" style="10" customWidth="1"/>
    <col min="7927" max="7927" width="4.25" style="10" customWidth="1"/>
    <col min="7928" max="7928" width="8.25" style="10" customWidth="1"/>
    <col min="7929" max="7929" width="4.625" style="10" customWidth="1"/>
    <col min="7930" max="7930" width="4.125" style="10" customWidth="1"/>
    <col min="7931" max="7931" width="8.625" style="10" customWidth="1"/>
    <col min="7932" max="7932" width="4.125" style="10" customWidth="1"/>
    <col min="7933" max="7933" width="4.625" style="10" customWidth="1"/>
    <col min="7934" max="7934" width="9.375" style="10" customWidth="1"/>
    <col min="7935" max="7935" width="1.375" style="10" customWidth="1"/>
    <col min="7936" max="8176" width="9" style="10"/>
    <col min="8177" max="8177" width="1.25" style="10" customWidth="1"/>
    <col min="8178" max="8178" width="7.25" style="10" customWidth="1"/>
    <col min="8179" max="8179" width="11.25" style="10" bestFit="1" customWidth="1"/>
    <col min="8180" max="8180" width="8.5" style="10" customWidth="1"/>
    <col min="8181" max="8181" width="17.375" style="10" customWidth="1"/>
    <col min="8182" max="8182" width="2.875" style="10" customWidth="1"/>
    <col min="8183" max="8183" width="4.25" style="10" customWidth="1"/>
    <col min="8184" max="8184" width="8.25" style="10" customWidth="1"/>
    <col min="8185" max="8185" width="4.625" style="10" customWidth="1"/>
    <col min="8186" max="8186" width="4.125" style="10" customWidth="1"/>
    <col min="8187" max="8187" width="8.625" style="10" customWidth="1"/>
    <col min="8188" max="8188" width="4.125" style="10" customWidth="1"/>
    <col min="8189" max="8189" width="4.625" style="10" customWidth="1"/>
    <col min="8190" max="8190" width="9.375" style="10" customWidth="1"/>
    <col min="8191" max="8191" width="1.375" style="10" customWidth="1"/>
    <col min="8192" max="8432" width="9" style="10"/>
    <col min="8433" max="8433" width="1.25" style="10" customWidth="1"/>
    <col min="8434" max="8434" width="7.25" style="10" customWidth="1"/>
    <col min="8435" max="8435" width="11.25" style="10" bestFit="1" customWidth="1"/>
    <col min="8436" max="8436" width="8.5" style="10" customWidth="1"/>
    <col min="8437" max="8437" width="17.375" style="10" customWidth="1"/>
    <col min="8438" max="8438" width="2.875" style="10" customWidth="1"/>
    <col min="8439" max="8439" width="4.25" style="10" customWidth="1"/>
    <col min="8440" max="8440" width="8.25" style="10" customWidth="1"/>
    <col min="8441" max="8441" width="4.625" style="10" customWidth="1"/>
    <col min="8442" max="8442" width="4.125" style="10" customWidth="1"/>
    <col min="8443" max="8443" width="8.625" style="10" customWidth="1"/>
    <col min="8444" max="8444" width="4.125" style="10" customWidth="1"/>
    <col min="8445" max="8445" width="4.625" style="10" customWidth="1"/>
    <col min="8446" max="8446" width="9.375" style="10" customWidth="1"/>
    <col min="8447" max="8447" width="1.375" style="10" customWidth="1"/>
    <col min="8448" max="8688" width="9" style="10"/>
    <col min="8689" max="8689" width="1.25" style="10" customWidth="1"/>
    <col min="8690" max="8690" width="7.25" style="10" customWidth="1"/>
    <col min="8691" max="8691" width="11.25" style="10" bestFit="1" customWidth="1"/>
    <col min="8692" max="8692" width="8.5" style="10" customWidth="1"/>
    <col min="8693" max="8693" width="17.375" style="10" customWidth="1"/>
    <col min="8694" max="8694" width="2.875" style="10" customWidth="1"/>
    <col min="8695" max="8695" width="4.25" style="10" customWidth="1"/>
    <col min="8696" max="8696" width="8.25" style="10" customWidth="1"/>
    <col min="8697" max="8697" width="4.625" style="10" customWidth="1"/>
    <col min="8698" max="8698" width="4.125" style="10" customWidth="1"/>
    <col min="8699" max="8699" width="8.625" style="10" customWidth="1"/>
    <col min="8700" max="8700" width="4.125" style="10" customWidth="1"/>
    <col min="8701" max="8701" width="4.625" style="10" customWidth="1"/>
    <col min="8702" max="8702" width="9.375" style="10" customWidth="1"/>
    <col min="8703" max="8703" width="1.375" style="10" customWidth="1"/>
    <col min="8704" max="8944" width="9" style="10"/>
    <col min="8945" max="8945" width="1.25" style="10" customWidth="1"/>
    <col min="8946" max="8946" width="7.25" style="10" customWidth="1"/>
    <col min="8947" max="8947" width="11.25" style="10" bestFit="1" customWidth="1"/>
    <col min="8948" max="8948" width="8.5" style="10" customWidth="1"/>
    <col min="8949" max="8949" width="17.375" style="10" customWidth="1"/>
    <col min="8950" max="8950" width="2.875" style="10" customWidth="1"/>
    <col min="8951" max="8951" width="4.25" style="10" customWidth="1"/>
    <col min="8952" max="8952" width="8.25" style="10" customWidth="1"/>
    <col min="8953" max="8953" width="4.625" style="10" customWidth="1"/>
    <col min="8954" max="8954" width="4.125" style="10" customWidth="1"/>
    <col min="8955" max="8955" width="8.625" style="10" customWidth="1"/>
    <col min="8956" max="8956" width="4.125" style="10" customWidth="1"/>
    <col min="8957" max="8957" width="4.625" style="10" customWidth="1"/>
    <col min="8958" max="8958" width="9.375" style="10" customWidth="1"/>
    <col min="8959" max="8959" width="1.375" style="10" customWidth="1"/>
    <col min="8960" max="9200" width="9" style="10"/>
    <col min="9201" max="9201" width="1.25" style="10" customWidth="1"/>
    <col min="9202" max="9202" width="7.25" style="10" customWidth="1"/>
    <col min="9203" max="9203" width="11.25" style="10" bestFit="1" customWidth="1"/>
    <col min="9204" max="9204" width="8.5" style="10" customWidth="1"/>
    <col min="9205" max="9205" width="17.375" style="10" customWidth="1"/>
    <col min="9206" max="9206" width="2.875" style="10" customWidth="1"/>
    <col min="9207" max="9207" width="4.25" style="10" customWidth="1"/>
    <col min="9208" max="9208" width="8.25" style="10" customWidth="1"/>
    <col min="9209" max="9209" width="4.625" style="10" customWidth="1"/>
    <col min="9210" max="9210" width="4.125" style="10" customWidth="1"/>
    <col min="9211" max="9211" width="8.625" style="10" customWidth="1"/>
    <col min="9212" max="9212" width="4.125" style="10" customWidth="1"/>
    <col min="9213" max="9213" width="4.625" style="10" customWidth="1"/>
    <col min="9214" max="9214" width="9.375" style="10" customWidth="1"/>
    <col min="9215" max="9215" width="1.375" style="10" customWidth="1"/>
    <col min="9216" max="9456" width="9" style="10"/>
    <col min="9457" max="9457" width="1.25" style="10" customWidth="1"/>
    <col min="9458" max="9458" width="7.25" style="10" customWidth="1"/>
    <col min="9459" max="9459" width="11.25" style="10" bestFit="1" customWidth="1"/>
    <col min="9460" max="9460" width="8.5" style="10" customWidth="1"/>
    <col min="9461" max="9461" width="17.375" style="10" customWidth="1"/>
    <col min="9462" max="9462" width="2.875" style="10" customWidth="1"/>
    <col min="9463" max="9463" width="4.25" style="10" customWidth="1"/>
    <col min="9464" max="9464" width="8.25" style="10" customWidth="1"/>
    <col min="9465" max="9465" width="4.625" style="10" customWidth="1"/>
    <col min="9466" max="9466" width="4.125" style="10" customWidth="1"/>
    <col min="9467" max="9467" width="8.625" style="10" customWidth="1"/>
    <col min="9468" max="9468" width="4.125" style="10" customWidth="1"/>
    <col min="9469" max="9469" width="4.625" style="10" customWidth="1"/>
    <col min="9470" max="9470" width="9.375" style="10" customWidth="1"/>
    <col min="9471" max="9471" width="1.375" style="10" customWidth="1"/>
    <col min="9472" max="9712" width="9" style="10"/>
    <col min="9713" max="9713" width="1.25" style="10" customWidth="1"/>
    <col min="9714" max="9714" width="7.25" style="10" customWidth="1"/>
    <col min="9715" max="9715" width="11.25" style="10" bestFit="1" customWidth="1"/>
    <col min="9716" max="9716" width="8.5" style="10" customWidth="1"/>
    <col min="9717" max="9717" width="17.375" style="10" customWidth="1"/>
    <col min="9718" max="9718" width="2.875" style="10" customWidth="1"/>
    <col min="9719" max="9719" width="4.25" style="10" customWidth="1"/>
    <col min="9720" max="9720" width="8.25" style="10" customWidth="1"/>
    <col min="9721" max="9721" width="4.625" style="10" customWidth="1"/>
    <col min="9722" max="9722" width="4.125" style="10" customWidth="1"/>
    <col min="9723" max="9723" width="8.625" style="10" customWidth="1"/>
    <col min="9724" max="9724" width="4.125" style="10" customWidth="1"/>
    <col min="9725" max="9725" width="4.625" style="10" customWidth="1"/>
    <col min="9726" max="9726" width="9.375" style="10" customWidth="1"/>
    <col min="9727" max="9727" width="1.375" style="10" customWidth="1"/>
    <col min="9728" max="9968" width="9" style="10"/>
    <col min="9969" max="9969" width="1.25" style="10" customWidth="1"/>
    <col min="9970" max="9970" width="7.25" style="10" customWidth="1"/>
    <col min="9971" max="9971" width="11.25" style="10" bestFit="1" customWidth="1"/>
    <col min="9972" max="9972" width="8.5" style="10" customWidth="1"/>
    <col min="9973" max="9973" width="17.375" style="10" customWidth="1"/>
    <col min="9974" max="9974" width="2.875" style="10" customWidth="1"/>
    <col min="9975" max="9975" width="4.25" style="10" customWidth="1"/>
    <col min="9976" max="9976" width="8.25" style="10" customWidth="1"/>
    <col min="9977" max="9977" width="4.625" style="10" customWidth="1"/>
    <col min="9978" max="9978" width="4.125" style="10" customWidth="1"/>
    <col min="9979" max="9979" width="8.625" style="10" customWidth="1"/>
    <col min="9980" max="9980" width="4.125" style="10" customWidth="1"/>
    <col min="9981" max="9981" width="4.625" style="10" customWidth="1"/>
    <col min="9982" max="9982" width="9.375" style="10" customWidth="1"/>
    <col min="9983" max="9983" width="1.375" style="10" customWidth="1"/>
    <col min="9984" max="10224" width="9" style="10"/>
    <col min="10225" max="10225" width="1.25" style="10" customWidth="1"/>
    <col min="10226" max="10226" width="7.25" style="10" customWidth="1"/>
    <col min="10227" max="10227" width="11.25" style="10" bestFit="1" customWidth="1"/>
    <col min="10228" max="10228" width="8.5" style="10" customWidth="1"/>
    <col min="10229" max="10229" width="17.375" style="10" customWidth="1"/>
    <col min="10230" max="10230" width="2.875" style="10" customWidth="1"/>
    <col min="10231" max="10231" width="4.25" style="10" customWidth="1"/>
    <col min="10232" max="10232" width="8.25" style="10" customWidth="1"/>
    <col min="10233" max="10233" width="4.625" style="10" customWidth="1"/>
    <col min="10234" max="10234" width="4.125" style="10" customWidth="1"/>
    <col min="10235" max="10235" width="8.625" style="10" customWidth="1"/>
    <col min="10236" max="10236" width="4.125" style="10" customWidth="1"/>
    <col min="10237" max="10237" width="4.625" style="10" customWidth="1"/>
    <col min="10238" max="10238" width="9.375" style="10" customWidth="1"/>
    <col min="10239" max="10239" width="1.375" style="10" customWidth="1"/>
    <col min="10240" max="10480" width="9" style="10"/>
    <col min="10481" max="10481" width="1.25" style="10" customWidth="1"/>
    <col min="10482" max="10482" width="7.25" style="10" customWidth="1"/>
    <col min="10483" max="10483" width="11.25" style="10" bestFit="1" customWidth="1"/>
    <col min="10484" max="10484" width="8.5" style="10" customWidth="1"/>
    <col min="10485" max="10485" width="17.375" style="10" customWidth="1"/>
    <col min="10486" max="10486" width="2.875" style="10" customWidth="1"/>
    <col min="10487" max="10487" width="4.25" style="10" customWidth="1"/>
    <col min="10488" max="10488" width="8.25" style="10" customWidth="1"/>
    <col min="10489" max="10489" width="4.625" style="10" customWidth="1"/>
    <col min="10490" max="10490" width="4.125" style="10" customWidth="1"/>
    <col min="10491" max="10491" width="8.625" style="10" customWidth="1"/>
    <col min="10492" max="10492" width="4.125" style="10" customWidth="1"/>
    <col min="10493" max="10493" width="4.625" style="10" customWidth="1"/>
    <col min="10494" max="10494" width="9.375" style="10" customWidth="1"/>
    <col min="10495" max="10495" width="1.375" style="10" customWidth="1"/>
    <col min="10496" max="10736" width="9" style="10"/>
    <col min="10737" max="10737" width="1.25" style="10" customWidth="1"/>
    <col min="10738" max="10738" width="7.25" style="10" customWidth="1"/>
    <col min="10739" max="10739" width="11.25" style="10" bestFit="1" customWidth="1"/>
    <col min="10740" max="10740" width="8.5" style="10" customWidth="1"/>
    <col min="10741" max="10741" width="17.375" style="10" customWidth="1"/>
    <col min="10742" max="10742" width="2.875" style="10" customWidth="1"/>
    <col min="10743" max="10743" width="4.25" style="10" customWidth="1"/>
    <col min="10744" max="10744" width="8.25" style="10" customWidth="1"/>
    <col min="10745" max="10745" width="4.625" style="10" customWidth="1"/>
    <col min="10746" max="10746" width="4.125" style="10" customWidth="1"/>
    <col min="10747" max="10747" width="8.625" style="10" customWidth="1"/>
    <col min="10748" max="10748" width="4.125" style="10" customWidth="1"/>
    <col min="10749" max="10749" width="4.625" style="10" customWidth="1"/>
    <col min="10750" max="10750" width="9.375" style="10" customWidth="1"/>
    <col min="10751" max="10751" width="1.375" style="10" customWidth="1"/>
    <col min="10752" max="10992" width="9" style="10"/>
    <col min="10993" max="10993" width="1.25" style="10" customWidth="1"/>
    <col min="10994" max="10994" width="7.25" style="10" customWidth="1"/>
    <col min="10995" max="10995" width="11.25" style="10" bestFit="1" customWidth="1"/>
    <col min="10996" max="10996" width="8.5" style="10" customWidth="1"/>
    <col min="10997" max="10997" width="17.375" style="10" customWidth="1"/>
    <col min="10998" max="10998" width="2.875" style="10" customWidth="1"/>
    <col min="10999" max="10999" width="4.25" style="10" customWidth="1"/>
    <col min="11000" max="11000" width="8.25" style="10" customWidth="1"/>
    <col min="11001" max="11001" width="4.625" style="10" customWidth="1"/>
    <col min="11002" max="11002" width="4.125" style="10" customWidth="1"/>
    <col min="11003" max="11003" width="8.625" style="10" customWidth="1"/>
    <col min="11004" max="11004" width="4.125" style="10" customWidth="1"/>
    <col min="11005" max="11005" width="4.625" style="10" customWidth="1"/>
    <col min="11006" max="11006" width="9.375" style="10" customWidth="1"/>
    <col min="11007" max="11007" width="1.375" style="10" customWidth="1"/>
    <col min="11008" max="11248" width="9" style="10"/>
    <col min="11249" max="11249" width="1.25" style="10" customWidth="1"/>
    <col min="11250" max="11250" width="7.25" style="10" customWidth="1"/>
    <col min="11251" max="11251" width="11.25" style="10" bestFit="1" customWidth="1"/>
    <col min="11252" max="11252" width="8.5" style="10" customWidth="1"/>
    <col min="11253" max="11253" width="17.375" style="10" customWidth="1"/>
    <col min="11254" max="11254" width="2.875" style="10" customWidth="1"/>
    <col min="11255" max="11255" width="4.25" style="10" customWidth="1"/>
    <col min="11256" max="11256" width="8.25" style="10" customWidth="1"/>
    <col min="11257" max="11257" width="4.625" style="10" customWidth="1"/>
    <col min="11258" max="11258" width="4.125" style="10" customWidth="1"/>
    <col min="11259" max="11259" width="8.625" style="10" customWidth="1"/>
    <col min="11260" max="11260" width="4.125" style="10" customWidth="1"/>
    <col min="11261" max="11261" width="4.625" style="10" customWidth="1"/>
    <col min="11262" max="11262" width="9.375" style="10" customWidth="1"/>
    <col min="11263" max="11263" width="1.375" style="10" customWidth="1"/>
    <col min="11264" max="11504" width="9" style="10"/>
    <col min="11505" max="11505" width="1.25" style="10" customWidth="1"/>
    <col min="11506" max="11506" width="7.25" style="10" customWidth="1"/>
    <col min="11507" max="11507" width="11.25" style="10" bestFit="1" customWidth="1"/>
    <col min="11508" max="11508" width="8.5" style="10" customWidth="1"/>
    <col min="11509" max="11509" width="17.375" style="10" customWidth="1"/>
    <col min="11510" max="11510" width="2.875" style="10" customWidth="1"/>
    <col min="11511" max="11511" width="4.25" style="10" customWidth="1"/>
    <col min="11512" max="11512" width="8.25" style="10" customWidth="1"/>
    <col min="11513" max="11513" width="4.625" style="10" customWidth="1"/>
    <col min="11514" max="11514" width="4.125" style="10" customWidth="1"/>
    <col min="11515" max="11515" width="8.625" style="10" customWidth="1"/>
    <col min="11516" max="11516" width="4.125" style="10" customWidth="1"/>
    <col min="11517" max="11517" width="4.625" style="10" customWidth="1"/>
    <col min="11518" max="11518" width="9.375" style="10" customWidth="1"/>
    <col min="11519" max="11519" width="1.375" style="10" customWidth="1"/>
    <col min="11520" max="11760" width="9" style="10"/>
    <col min="11761" max="11761" width="1.25" style="10" customWidth="1"/>
    <col min="11762" max="11762" width="7.25" style="10" customWidth="1"/>
    <col min="11763" max="11763" width="11.25" style="10" bestFit="1" customWidth="1"/>
    <col min="11764" max="11764" width="8.5" style="10" customWidth="1"/>
    <col min="11765" max="11765" width="17.375" style="10" customWidth="1"/>
    <col min="11766" max="11766" width="2.875" style="10" customWidth="1"/>
    <col min="11767" max="11767" width="4.25" style="10" customWidth="1"/>
    <col min="11768" max="11768" width="8.25" style="10" customWidth="1"/>
    <col min="11769" max="11769" width="4.625" style="10" customWidth="1"/>
    <col min="11770" max="11770" width="4.125" style="10" customWidth="1"/>
    <col min="11771" max="11771" width="8.625" style="10" customWidth="1"/>
    <col min="11772" max="11772" width="4.125" style="10" customWidth="1"/>
    <col min="11773" max="11773" width="4.625" style="10" customWidth="1"/>
    <col min="11774" max="11774" width="9.375" style="10" customWidth="1"/>
    <col min="11775" max="11775" width="1.375" style="10" customWidth="1"/>
    <col min="11776" max="12016" width="9" style="10"/>
    <col min="12017" max="12017" width="1.25" style="10" customWidth="1"/>
    <col min="12018" max="12018" width="7.25" style="10" customWidth="1"/>
    <col min="12019" max="12019" width="11.25" style="10" bestFit="1" customWidth="1"/>
    <col min="12020" max="12020" width="8.5" style="10" customWidth="1"/>
    <col min="12021" max="12021" width="17.375" style="10" customWidth="1"/>
    <col min="12022" max="12022" width="2.875" style="10" customWidth="1"/>
    <col min="12023" max="12023" width="4.25" style="10" customWidth="1"/>
    <col min="12024" max="12024" width="8.25" style="10" customWidth="1"/>
    <col min="12025" max="12025" width="4.625" style="10" customWidth="1"/>
    <col min="12026" max="12026" width="4.125" style="10" customWidth="1"/>
    <col min="12027" max="12027" width="8.625" style="10" customWidth="1"/>
    <col min="12028" max="12028" width="4.125" style="10" customWidth="1"/>
    <col min="12029" max="12029" width="4.625" style="10" customWidth="1"/>
    <col min="12030" max="12030" width="9.375" style="10" customWidth="1"/>
    <col min="12031" max="12031" width="1.375" style="10" customWidth="1"/>
    <col min="12032" max="12272" width="9" style="10"/>
    <col min="12273" max="12273" width="1.25" style="10" customWidth="1"/>
    <col min="12274" max="12274" width="7.25" style="10" customWidth="1"/>
    <col min="12275" max="12275" width="11.25" style="10" bestFit="1" customWidth="1"/>
    <col min="12276" max="12276" width="8.5" style="10" customWidth="1"/>
    <col min="12277" max="12277" width="17.375" style="10" customWidth="1"/>
    <col min="12278" max="12278" width="2.875" style="10" customWidth="1"/>
    <col min="12279" max="12279" width="4.25" style="10" customWidth="1"/>
    <col min="12280" max="12280" width="8.25" style="10" customWidth="1"/>
    <col min="12281" max="12281" width="4.625" style="10" customWidth="1"/>
    <col min="12282" max="12282" width="4.125" style="10" customWidth="1"/>
    <col min="12283" max="12283" width="8.625" style="10" customWidth="1"/>
    <col min="12284" max="12284" width="4.125" style="10" customWidth="1"/>
    <col min="12285" max="12285" width="4.625" style="10" customWidth="1"/>
    <col min="12286" max="12286" width="9.375" style="10" customWidth="1"/>
    <col min="12287" max="12287" width="1.375" style="10" customWidth="1"/>
    <col min="12288" max="12528" width="9" style="10"/>
    <col min="12529" max="12529" width="1.25" style="10" customWidth="1"/>
    <col min="12530" max="12530" width="7.25" style="10" customWidth="1"/>
    <col min="12531" max="12531" width="11.25" style="10" bestFit="1" customWidth="1"/>
    <col min="12532" max="12532" width="8.5" style="10" customWidth="1"/>
    <col min="12533" max="12533" width="17.375" style="10" customWidth="1"/>
    <col min="12534" max="12534" width="2.875" style="10" customWidth="1"/>
    <col min="12535" max="12535" width="4.25" style="10" customWidth="1"/>
    <col min="12536" max="12536" width="8.25" style="10" customWidth="1"/>
    <col min="12537" max="12537" width="4.625" style="10" customWidth="1"/>
    <col min="12538" max="12538" width="4.125" style="10" customWidth="1"/>
    <col min="12539" max="12539" width="8.625" style="10" customWidth="1"/>
    <col min="12540" max="12540" width="4.125" style="10" customWidth="1"/>
    <col min="12541" max="12541" width="4.625" style="10" customWidth="1"/>
    <col min="12542" max="12542" width="9.375" style="10" customWidth="1"/>
    <col min="12543" max="12543" width="1.375" style="10" customWidth="1"/>
    <col min="12544" max="12784" width="9" style="10"/>
    <col min="12785" max="12785" width="1.25" style="10" customWidth="1"/>
    <col min="12786" max="12786" width="7.25" style="10" customWidth="1"/>
    <col min="12787" max="12787" width="11.25" style="10" bestFit="1" customWidth="1"/>
    <col min="12788" max="12788" width="8.5" style="10" customWidth="1"/>
    <col min="12789" max="12789" width="17.375" style="10" customWidth="1"/>
    <col min="12790" max="12790" width="2.875" style="10" customWidth="1"/>
    <col min="12791" max="12791" width="4.25" style="10" customWidth="1"/>
    <col min="12792" max="12792" width="8.25" style="10" customWidth="1"/>
    <col min="12793" max="12793" width="4.625" style="10" customWidth="1"/>
    <col min="12794" max="12794" width="4.125" style="10" customWidth="1"/>
    <col min="12795" max="12795" width="8.625" style="10" customWidth="1"/>
    <col min="12796" max="12796" width="4.125" style="10" customWidth="1"/>
    <col min="12797" max="12797" width="4.625" style="10" customWidth="1"/>
    <col min="12798" max="12798" width="9.375" style="10" customWidth="1"/>
    <col min="12799" max="12799" width="1.375" style="10" customWidth="1"/>
    <col min="12800" max="13040" width="9" style="10"/>
    <col min="13041" max="13041" width="1.25" style="10" customWidth="1"/>
    <col min="13042" max="13042" width="7.25" style="10" customWidth="1"/>
    <col min="13043" max="13043" width="11.25" style="10" bestFit="1" customWidth="1"/>
    <col min="13044" max="13044" width="8.5" style="10" customWidth="1"/>
    <col min="13045" max="13045" width="17.375" style="10" customWidth="1"/>
    <col min="13046" max="13046" width="2.875" style="10" customWidth="1"/>
    <col min="13047" max="13047" width="4.25" style="10" customWidth="1"/>
    <col min="13048" max="13048" width="8.25" style="10" customWidth="1"/>
    <col min="13049" max="13049" width="4.625" style="10" customWidth="1"/>
    <col min="13050" max="13050" width="4.125" style="10" customWidth="1"/>
    <col min="13051" max="13051" width="8.625" style="10" customWidth="1"/>
    <col min="13052" max="13052" width="4.125" style="10" customWidth="1"/>
    <col min="13053" max="13053" width="4.625" style="10" customWidth="1"/>
    <col min="13054" max="13054" width="9.375" style="10" customWidth="1"/>
    <col min="13055" max="13055" width="1.375" style="10" customWidth="1"/>
    <col min="13056" max="13296" width="9" style="10"/>
    <col min="13297" max="13297" width="1.25" style="10" customWidth="1"/>
    <col min="13298" max="13298" width="7.25" style="10" customWidth="1"/>
    <col min="13299" max="13299" width="11.25" style="10" bestFit="1" customWidth="1"/>
    <col min="13300" max="13300" width="8.5" style="10" customWidth="1"/>
    <col min="13301" max="13301" width="17.375" style="10" customWidth="1"/>
    <col min="13302" max="13302" width="2.875" style="10" customWidth="1"/>
    <col min="13303" max="13303" width="4.25" style="10" customWidth="1"/>
    <col min="13304" max="13304" width="8.25" style="10" customWidth="1"/>
    <col min="13305" max="13305" width="4.625" style="10" customWidth="1"/>
    <col min="13306" max="13306" width="4.125" style="10" customWidth="1"/>
    <col min="13307" max="13307" width="8.625" style="10" customWidth="1"/>
    <col min="13308" max="13308" width="4.125" style="10" customWidth="1"/>
    <col min="13309" max="13309" width="4.625" style="10" customWidth="1"/>
    <col min="13310" max="13310" width="9.375" style="10" customWidth="1"/>
    <col min="13311" max="13311" width="1.375" style="10" customWidth="1"/>
    <col min="13312" max="13552" width="9" style="10"/>
    <col min="13553" max="13553" width="1.25" style="10" customWidth="1"/>
    <col min="13554" max="13554" width="7.25" style="10" customWidth="1"/>
    <col min="13555" max="13555" width="11.25" style="10" bestFit="1" customWidth="1"/>
    <col min="13556" max="13556" width="8.5" style="10" customWidth="1"/>
    <col min="13557" max="13557" width="17.375" style="10" customWidth="1"/>
    <col min="13558" max="13558" width="2.875" style="10" customWidth="1"/>
    <col min="13559" max="13559" width="4.25" style="10" customWidth="1"/>
    <col min="13560" max="13560" width="8.25" style="10" customWidth="1"/>
    <col min="13561" max="13561" width="4.625" style="10" customWidth="1"/>
    <col min="13562" max="13562" width="4.125" style="10" customWidth="1"/>
    <col min="13563" max="13563" width="8.625" style="10" customWidth="1"/>
    <col min="13564" max="13564" width="4.125" style="10" customWidth="1"/>
    <col min="13565" max="13565" width="4.625" style="10" customWidth="1"/>
    <col min="13566" max="13566" width="9.375" style="10" customWidth="1"/>
    <col min="13567" max="13567" width="1.375" style="10" customWidth="1"/>
    <col min="13568" max="13808" width="9" style="10"/>
    <col min="13809" max="13809" width="1.25" style="10" customWidth="1"/>
    <col min="13810" max="13810" width="7.25" style="10" customWidth="1"/>
    <col min="13811" max="13811" width="11.25" style="10" bestFit="1" customWidth="1"/>
    <col min="13812" max="13812" width="8.5" style="10" customWidth="1"/>
    <col min="13813" max="13813" width="17.375" style="10" customWidth="1"/>
    <col min="13814" max="13814" width="2.875" style="10" customWidth="1"/>
    <col min="13815" max="13815" width="4.25" style="10" customWidth="1"/>
    <col min="13816" max="13816" width="8.25" style="10" customWidth="1"/>
    <col min="13817" max="13817" width="4.625" style="10" customWidth="1"/>
    <col min="13818" max="13818" width="4.125" style="10" customWidth="1"/>
    <col min="13819" max="13819" width="8.625" style="10" customWidth="1"/>
    <col min="13820" max="13820" width="4.125" style="10" customWidth="1"/>
    <col min="13821" max="13821" width="4.625" style="10" customWidth="1"/>
    <col min="13822" max="13822" width="9.375" style="10" customWidth="1"/>
    <col min="13823" max="13823" width="1.375" style="10" customWidth="1"/>
    <col min="13824" max="14064" width="9" style="10"/>
    <col min="14065" max="14065" width="1.25" style="10" customWidth="1"/>
    <col min="14066" max="14066" width="7.25" style="10" customWidth="1"/>
    <col min="14067" max="14067" width="11.25" style="10" bestFit="1" customWidth="1"/>
    <col min="14068" max="14068" width="8.5" style="10" customWidth="1"/>
    <col min="14069" max="14069" width="17.375" style="10" customWidth="1"/>
    <col min="14070" max="14070" width="2.875" style="10" customWidth="1"/>
    <col min="14071" max="14071" width="4.25" style="10" customWidth="1"/>
    <col min="14072" max="14072" width="8.25" style="10" customWidth="1"/>
    <col min="14073" max="14073" width="4.625" style="10" customWidth="1"/>
    <col min="14074" max="14074" width="4.125" style="10" customWidth="1"/>
    <col min="14075" max="14075" width="8.625" style="10" customWidth="1"/>
    <col min="14076" max="14076" width="4.125" style="10" customWidth="1"/>
    <col min="14077" max="14077" width="4.625" style="10" customWidth="1"/>
    <col min="14078" max="14078" width="9.375" style="10" customWidth="1"/>
    <col min="14079" max="14079" width="1.375" style="10" customWidth="1"/>
    <col min="14080" max="14320" width="9" style="10"/>
    <col min="14321" max="14321" width="1.25" style="10" customWidth="1"/>
    <col min="14322" max="14322" width="7.25" style="10" customWidth="1"/>
    <col min="14323" max="14323" width="11.25" style="10" bestFit="1" customWidth="1"/>
    <col min="14324" max="14324" width="8.5" style="10" customWidth="1"/>
    <col min="14325" max="14325" width="17.375" style="10" customWidth="1"/>
    <col min="14326" max="14326" width="2.875" style="10" customWidth="1"/>
    <col min="14327" max="14327" width="4.25" style="10" customWidth="1"/>
    <col min="14328" max="14328" width="8.25" style="10" customWidth="1"/>
    <col min="14329" max="14329" width="4.625" style="10" customWidth="1"/>
    <col min="14330" max="14330" width="4.125" style="10" customWidth="1"/>
    <col min="14331" max="14331" width="8.625" style="10" customWidth="1"/>
    <col min="14332" max="14332" width="4.125" style="10" customWidth="1"/>
    <col min="14333" max="14333" width="4.625" style="10" customWidth="1"/>
    <col min="14334" max="14334" width="9.375" style="10" customWidth="1"/>
    <col min="14335" max="14335" width="1.375" style="10" customWidth="1"/>
    <col min="14336" max="14576" width="9" style="10"/>
    <col min="14577" max="14577" width="1.25" style="10" customWidth="1"/>
    <col min="14578" max="14578" width="7.25" style="10" customWidth="1"/>
    <col min="14579" max="14579" width="11.25" style="10" bestFit="1" customWidth="1"/>
    <col min="14580" max="14580" width="8.5" style="10" customWidth="1"/>
    <col min="14581" max="14581" width="17.375" style="10" customWidth="1"/>
    <col min="14582" max="14582" width="2.875" style="10" customWidth="1"/>
    <col min="14583" max="14583" width="4.25" style="10" customWidth="1"/>
    <col min="14584" max="14584" width="8.25" style="10" customWidth="1"/>
    <col min="14585" max="14585" width="4.625" style="10" customWidth="1"/>
    <col min="14586" max="14586" width="4.125" style="10" customWidth="1"/>
    <col min="14587" max="14587" width="8.625" style="10" customWidth="1"/>
    <col min="14588" max="14588" width="4.125" style="10" customWidth="1"/>
    <col min="14589" max="14589" width="4.625" style="10" customWidth="1"/>
    <col min="14590" max="14590" width="9.375" style="10" customWidth="1"/>
    <col min="14591" max="14591" width="1.375" style="10" customWidth="1"/>
    <col min="14592" max="14832" width="9" style="10"/>
    <col min="14833" max="14833" width="1.25" style="10" customWidth="1"/>
    <col min="14834" max="14834" width="7.25" style="10" customWidth="1"/>
    <col min="14835" max="14835" width="11.25" style="10" bestFit="1" customWidth="1"/>
    <col min="14836" max="14836" width="8.5" style="10" customWidth="1"/>
    <col min="14837" max="14837" width="17.375" style="10" customWidth="1"/>
    <col min="14838" max="14838" width="2.875" style="10" customWidth="1"/>
    <col min="14839" max="14839" width="4.25" style="10" customWidth="1"/>
    <col min="14840" max="14840" width="8.25" style="10" customWidth="1"/>
    <col min="14841" max="14841" width="4.625" style="10" customWidth="1"/>
    <col min="14842" max="14842" width="4.125" style="10" customWidth="1"/>
    <col min="14843" max="14843" width="8.625" style="10" customWidth="1"/>
    <col min="14844" max="14844" width="4.125" style="10" customWidth="1"/>
    <col min="14845" max="14845" width="4.625" style="10" customWidth="1"/>
    <col min="14846" max="14846" width="9.375" style="10" customWidth="1"/>
    <col min="14847" max="14847" width="1.375" style="10" customWidth="1"/>
    <col min="14848" max="15088" width="9" style="10"/>
    <col min="15089" max="15089" width="1.25" style="10" customWidth="1"/>
    <col min="15090" max="15090" width="7.25" style="10" customWidth="1"/>
    <col min="15091" max="15091" width="11.25" style="10" bestFit="1" customWidth="1"/>
    <col min="15092" max="15092" width="8.5" style="10" customWidth="1"/>
    <col min="15093" max="15093" width="17.375" style="10" customWidth="1"/>
    <col min="15094" max="15094" width="2.875" style="10" customWidth="1"/>
    <col min="15095" max="15095" width="4.25" style="10" customWidth="1"/>
    <col min="15096" max="15096" width="8.25" style="10" customWidth="1"/>
    <col min="15097" max="15097" width="4.625" style="10" customWidth="1"/>
    <col min="15098" max="15098" width="4.125" style="10" customWidth="1"/>
    <col min="15099" max="15099" width="8.625" style="10" customWidth="1"/>
    <col min="15100" max="15100" width="4.125" style="10" customWidth="1"/>
    <col min="15101" max="15101" width="4.625" style="10" customWidth="1"/>
    <col min="15102" max="15102" width="9.375" style="10" customWidth="1"/>
    <col min="15103" max="15103" width="1.375" style="10" customWidth="1"/>
    <col min="15104" max="15344" width="9" style="10"/>
    <col min="15345" max="15345" width="1.25" style="10" customWidth="1"/>
    <col min="15346" max="15346" width="7.25" style="10" customWidth="1"/>
    <col min="15347" max="15347" width="11.25" style="10" bestFit="1" customWidth="1"/>
    <col min="15348" max="15348" width="8.5" style="10" customWidth="1"/>
    <col min="15349" max="15349" width="17.375" style="10" customWidth="1"/>
    <col min="15350" max="15350" width="2.875" style="10" customWidth="1"/>
    <col min="15351" max="15351" width="4.25" style="10" customWidth="1"/>
    <col min="15352" max="15352" width="8.25" style="10" customWidth="1"/>
    <col min="15353" max="15353" width="4.625" style="10" customWidth="1"/>
    <col min="15354" max="15354" width="4.125" style="10" customWidth="1"/>
    <col min="15355" max="15355" width="8.625" style="10" customWidth="1"/>
    <col min="15356" max="15356" width="4.125" style="10" customWidth="1"/>
    <col min="15357" max="15357" width="4.625" style="10" customWidth="1"/>
    <col min="15358" max="15358" width="9.375" style="10" customWidth="1"/>
    <col min="15359" max="15359" width="1.375" style="10" customWidth="1"/>
    <col min="15360" max="15600" width="9" style="10"/>
    <col min="15601" max="15601" width="1.25" style="10" customWidth="1"/>
    <col min="15602" max="15602" width="7.25" style="10" customWidth="1"/>
    <col min="15603" max="15603" width="11.25" style="10" bestFit="1" customWidth="1"/>
    <col min="15604" max="15604" width="8.5" style="10" customWidth="1"/>
    <col min="15605" max="15605" width="17.375" style="10" customWidth="1"/>
    <col min="15606" max="15606" width="2.875" style="10" customWidth="1"/>
    <col min="15607" max="15607" width="4.25" style="10" customWidth="1"/>
    <col min="15608" max="15608" width="8.25" style="10" customWidth="1"/>
    <col min="15609" max="15609" width="4.625" style="10" customWidth="1"/>
    <col min="15610" max="15610" width="4.125" style="10" customWidth="1"/>
    <col min="15611" max="15611" width="8.625" style="10" customWidth="1"/>
    <col min="15612" max="15612" width="4.125" style="10" customWidth="1"/>
    <col min="15613" max="15613" width="4.625" style="10" customWidth="1"/>
    <col min="15614" max="15614" width="9.375" style="10" customWidth="1"/>
    <col min="15615" max="15615" width="1.375" style="10" customWidth="1"/>
    <col min="15616" max="15856" width="9" style="10"/>
    <col min="15857" max="15857" width="1.25" style="10" customWidth="1"/>
    <col min="15858" max="15858" width="7.25" style="10" customWidth="1"/>
    <col min="15859" max="15859" width="11.25" style="10" bestFit="1" customWidth="1"/>
    <col min="15860" max="15860" width="8.5" style="10" customWidth="1"/>
    <col min="15861" max="15861" width="17.375" style="10" customWidth="1"/>
    <col min="15862" max="15862" width="2.875" style="10" customWidth="1"/>
    <col min="15863" max="15863" width="4.25" style="10" customWidth="1"/>
    <col min="15864" max="15864" width="8.25" style="10" customWidth="1"/>
    <col min="15865" max="15865" width="4.625" style="10" customWidth="1"/>
    <col min="15866" max="15866" width="4.125" style="10" customWidth="1"/>
    <col min="15867" max="15867" width="8.625" style="10" customWidth="1"/>
    <col min="15868" max="15868" width="4.125" style="10" customWidth="1"/>
    <col min="15869" max="15869" width="4.625" style="10" customWidth="1"/>
    <col min="15870" max="15870" width="9.375" style="10" customWidth="1"/>
    <col min="15871" max="15871" width="1.375" style="10" customWidth="1"/>
    <col min="15872" max="16112" width="9" style="10"/>
    <col min="16113" max="16113" width="1.25" style="10" customWidth="1"/>
    <col min="16114" max="16114" width="7.25" style="10" customWidth="1"/>
    <col min="16115" max="16115" width="11.25" style="10" bestFit="1" customWidth="1"/>
    <col min="16116" max="16116" width="8.5" style="10" customWidth="1"/>
    <col min="16117" max="16117" width="17.375" style="10" customWidth="1"/>
    <col min="16118" max="16118" width="2.875" style="10" customWidth="1"/>
    <col min="16119" max="16119" width="4.25" style="10" customWidth="1"/>
    <col min="16120" max="16120" width="8.25" style="10" customWidth="1"/>
    <col min="16121" max="16121" width="4.625" style="10" customWidth="1"/>
    <col min="16122" max="16122" width="4.125" style="10" customWidth="1"/>
    <col min="16123" max="16123" width="8.625" style="10" customWidth="1"/>
    <col min="16124" max="16124" width="4.125" style="10" customWidth="1"/>
    <col min="16125" max="16125" width="4.625" style="10" customWidth="1"/>
    <col min="16126" max="16126" width="9.375" style="10" customWidth="1"/>
    <col min="16127" max="16127" width="1.375" style="10" customWidth="1"/>
    <col min="16128" max="16384" width="9" style="10"/>
  </cols>
  <sheetData>
    <row r="1" spans="1:21" s="5" customFormat="1" ht="15" customHeight="1" x14ac:dyDescent="0.2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35"/>
      <c r="M1" s="35"/>
      <c r="N1" s="4"/>
      <c r="O1" s="4"/>
      <c r="P1" s="4"/>
      <c r="Q1" s="14"/>
      <c r="R1" s="14"/>
      <c r="S1" s="4"/>
    </row>
    <row r="2" spans="1:21" s="5" customFormat="1" ht="23.45" customHeight="1" x14ac:dyDescent="0.25">
      <c r="A2" s="6"/>
      <c r="C2" s="105">
        <v>1</v>
      </c>
      <c r="D2" s="105"/>
      <c r="E2" s="105"/>
      <c r="F2" s="105"/>
      <c r="G2" s="105"/>
      <c r="H2" s="105"/>
      <c r="I2" s="105"/>
      <c r="J2" s="105"/>
      <c r="K2" s="105"/>
      <c r="L2" s="44"/>
      <c r="M2" s="44"/>
      <c r="N2" s="43"/>
      <c r="O2" s="17"/>
      <c r="P2" s="17"/>
      <c r="Q2" s="18"/>
      <c r="R2" s="7"/>
    </row>
    <row r="3" spans="1:21" s="5" customFormat="1" ht="23.45" customHeight="1" x14ac:dyDescent="0.25">
      <c r="A3" s="6"/>
      <c r="C3" s="105"/>
      <c r="D3" s="105"/>
      <c r="E3" s="105"/>
      <c r="F3" s="105"/>
      <c r="G3" s="105"/>
      <c r="H3" s="105"/>
      <c r="I3" s="105"/>
      <c r="J3" s="105"/>
      <c r="K3" s="105"/>
      <c r="L3" s="44"/>
      <c r="M3" s="44"/>
      <c r="N3" s="43"/>
      <c r="O3" s="17"/>
      <c r="P3" s="17"/>
      <c r="Q3" s="18"/>
      <c r="S3" s="91" t="s">
        <v>0</v>
      </c>
      <c r="T3" s="91"/>
      <c r="U3" s="91"/>
    </row>
    <row r="4" spans="1:21" s="5" customFormat="1" ht="16.5" customHeight="1" x14ac:dyDescent="0.25">
      <c r="A4" s="6"/>
      <c r="C4" s="7"/>
      <c r="D4" s="7"/>
      <c r="E4" s="7"/>
      <c r="F4" s="7"/>
      <c r="G4" s="7"/>
      <c r="H4" s="7"/>
      <c r="I4" s="7"/>
      <c r="J4" s="7"/>
      <c r="K4" s="7"/>
      <c r="L4" s="38"/>
      <c r="M4" s="38"/>
      <c r="N4" s="7"/>
      <c r="O4" s="7"/>
      <c r="P4" s="7"/>
      <c r="Q4" s="7"/>
      <c r="S4" s="13" t="s">
        <v>1</v>
      </c>
      <c r="T4" s="13" t="s">
        <v>7</v>
      </c>
      <c r="U4" s="13" t="s">
        <v>12</v>
      </c>
    </row>
    <row r="5" spans="1:21" s="5" customFormat="1" ht="16.5" customHeight="1" x14ac:dyDescent="0.25">
      <c r="A5" s="6"/>
      <c r="C5" s="8"/>
      <c r="D5" s="8"/>
      <c r="E5" s="8"/>
      <c r="F5" s="8"/>
      <c r="G5" s="8"/>
      <c r="H5" s="8"/>
      <c r="I5" s="8"/>
      <c r="J5" s="8"/>
      <c r="K5" s="8"/>
      <c r="L5" s="38"/>
      <c r="M5" s="38"/>
      <c r="N5" s="8"/>
      <c r="O5" s="8"/>
      <c r="P5" s="8"/>
      <c r="Q5" s="7"/>
      <c r="S5" s="92"/>
      <c r="T5" s="92"/>
      <c r="U5" s="92"/>
    </row>
    <row r="6" spans="1:21" s="5" customFormat="1" ht="23.45" customHeight="1" x14ac:dyDescent="0.25">
      <c r="A6" s="6"/>
      <c r="C6" s="9" t="s">
        <v>16</v>
      </c>
      <c r="D6" s="45">
        <f ca="1">TODAY()</f>
        <v>46238</v>
      </c>
      <c r="E6" s="19"/>
      <c r="F6" s="19"/>
      <c r="G6" s="19"/>
      <c r="H6" s="19"/>
      <c r="I6" s="8"/>
      <c r="J6" s="8"/>
      <c r="K6" s="8"/>
      <c r="L6" s="38"/>
      <c r="M6" s="38"/>
      <c r="N6" s="8"/>
      <c r="O6" s="8"/>
      <c r="P6" s="8"/>
      <c r="Q6" s="7"/>
      <c r="S6" s="93"/>
      <c r="T6" s="93"/>
      <c r="U6" s="93"/>
    </row>
    <row r="7" spans="1:21" s="5" customFormat="1" ht="23.45" customHeight="1" x14ac:dyDescent="0.25">
      <c r="A7" s="6"/>
      <c r="C7" s="20" t="s">
        <v>13</v>
      </c>
      <c r="D7" s="46" t="s">
        <v>15</v>
      </c>
      <c r="E7" s="21"/>
      <c r="F7" s="21"/>
      <c r="G7" s="21"/>
      <c r="H7" s="21"/>
      <c r="I7" s="8"/>
      <c r="J7" s="8"/>
      <c r="K7" s="8"/>
      <c r="L7" s="38"/>
      <c r="M7" s="38"/>
      <c r="N7" s="8"/>
      <c r="O7" s="8"/>
      <c r="P7" s="8"/>
      <c r="Q7" s="7"/>
      <c r="S7" s="94"/>
      <c r="T7" s="94"/>
      <c r="U7" s="94"/>
    </row>
    <row r="8" spans="1:21" s="5" customFormat="1" ht="23.45" customHeight="1" x14ac:dyDescent="0.25">
      <c r="A8" s="6"/>
      <c r="C8" s="9" t="s">
        <v>2</v>
      </c>
      <c r="D8" s="46" t="s">
        <v>3</v>
      </c>
      <c r="E8" s="21"/>
      <c r="F8" s="21"/>
      <c r="G8" s="21"/>
      <c r="H8" s="21"/>
      <c r="I8" s="8"/>
      <c r="J8" s="8"/>
      <c r="K8" s="8"/>
      <c r="L8" s="38"/>
      <c r="M8" s="38"/>
      <c r="N8" s="8"/>
      <c r="O8" s="8"/>
      <c r="P8" s="8"/>
      <c r="Q8" s="7"/>
      <c r="R8" s="7"/>
    </row>
    <row r="9" spans="1:21" s="5" customFormat="1" ht="15" customHeight="1" thickBot="1" x14ac:dyDescent="0.3">
      <c r="A9" s="6"/>
      <c r="L9" s="36"/>
      <c r="M9" s="36"/>
      <c r="Q9" s="15"/>
      <c r="R9" s="15"/>
    </row>
    <row r="10" spans="1:21" s="5" customFormat="1" ht="20.100000000000001" customHeight="1" x14ac:dyDescent="0.25">
      <c r="A10" s="6"/>
      <c r="L10" s="36"/>
      <c r="M10" s="36"/>
      <c r="Q10" s="15"/>
      <c r="R10" s="15"/>
      <c r="S10" s="97" t="s">
        <v>36</v>
      </c>
      <c r="T10" s="98"/>
    </row>
    <row r="11" spans="1:21" s="5" customFormat="1" ht="20.100000000000001" customHeight="1" x14ac:dyDescent="0.25">
      <c r="L11" s="36"/>
      <c r="M11" s="36"/>
      <c r="Q11" s="15"/>
      <c r="R11" s="15"/>
      <c r="S11" s="22" t="s">
        <v>21</v>
      </c>
      <c r="T11" s="23" t="s">
        <v>22</v>
      </c>
    </row>
    <row r="12" spans="1:21" ht="24.75" customHeight="1" thickBot="1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36"/>
      <c r="M12" s="36"/>
      <c r="N12" s="5"/>
      <c r="O12" s="5"/>
      <c r="P12" s="5"/>
      <c r="Q12" s="5"/>
      <c r="R12" s="5"/>
      <c r="S12" s="55">
        <f>SUM(K17:K47)</f>
        <v>2</v>
      </c>
      <c r="T12" s="56">
        <f>SUM(L17:L47)</f>
        <v>2</v>
      </c>
    </row>
    <row r="13" spans="1:21" ht="23.25" customHeight="1" thickBot="1" x14ac:dyDescent="0.35">
      <c r="B13" s="83" t="s">
        <v>9</v>
      </c>
      <c r="C13" s="84"/>
      <c r="D13" s="84"/>
      <c r="E13" s="84"/>
      <c r="F13" s="84"/>
      <c r="G13" s="84"/>
      <c r="H13" s="84"/>
      <c r="I13" s="84"/>
      <c r="J13" s="85"/>
      <c r="K13" s="102" t="s">
        <v>11</v>
      </c>
      <c r="L13" s="103"/>
      <c r="M13" s="103"/>
      <c r="N13" s="104"/>
      <c r="Q13" s="10"/>
      <c r="R13" s="10"/>
    </row>
    <row r="14" spans="1:21" ht="23.25" customHeight="1" thickBot="1" x14ac:dyDescent="0.35">
      <c r="B14" s="106" t="s">
        <v>37</v>
      </c>
      <c r="C14" s="107"/>
      <c r="D14" s="107"/>
      <c r="E14" s="107"/>
      <c r="F14" s="107"/>
      <c r="G14" s="107"/>
      <c r="H14" s="107"/>
      <c r="I14" s="107"/>
      <c r="J14" s="108"/>
      <c r="K14" s="99" t="s">
        <v>38</v>
      </c>
      <c r="L14" s="100"/>
      <c r="M14" s="100"/>
      <c r="N14" s="101"/>
      <c r="Q14" s="10"/>
      <c r="R14" s="10"/>
    </row>
    <row r="15" spans="1:21" ht="45" customHeight="1" x14ac:dyDescent="0.3">
      <c r="B15" s="12" t="s">
        <v>4</v>
      </c>
      <c r="C15" s="12" t="s">
        <v>5</v>
      </c>
      <c r="D15" s="40" t="s">
        <v>19</v>
      </c>
      <c r="E15" s="41" t="s">
        <v>20</v>
      </c>
      <c r="F15" s="24" t="s">
        <v>14</v>
      </c>
      <c r="G15" s="30" t="s">
        <v>8</v>
      </c>
      <c r="H15" s="74" t="s">
        <v>27</v>
      </c>
      <c r="I15" s="74" t="s">
        <v>28</v>
      </c>
      <c r="J15" s="75" t="s">
        <v>29</v>
      </c>
      <c r="K15" s="31" t="s">
        <v>17</v>
      </c>
      <c r="L15" s="32" t="s">
        <v>18</v>
      </c>
      <c r="M15" s="95" t="s">
        <v>10</v>
      </c>
      <c r="N15" s="95"/>
      <c r="Q15" s="10"/>
      <c r="R15" s="10"/>
    </row>
    <row r="16" spans="1:21" ht="27" customHeight="1" x14ac:dyDescent="0.3">
      <c r="B16" s="11" t="s">
        <v>23</v>
      </c>
      <c r="C16" s="25" t="s">
        <v>24</v>
      </c>
      <c r="D16" s="49">
        <v>0.375</v>
      </c>
      <c r="E16" s="48">
        <v>0.54166666666666663</v>
      </c>
      <c r="F16" s="50">
        <v>1</v>
      </c>
      <c r="G16" s="47" t="s">
        <v>25</v>
      </c>
      <c r="H16" s="51" t="s">
        <v>31</v>
      </c>
      <c r="I16" s="51">
        <v>4</v>
      </c>
      <c r="J16" s="52" t="s">
        <v>32</v>
      </c>
      <c r="K16" s="33">
        <f>IF(AND(D16&lt;&gt;"",E16&lt;&gt;""),IF(H16="입력하세요","대체휴무지급  여부 입력",ROUNDDOWN(MAX(0,((E16-D16)*24)-IF(F16&lt;&gt;"",F16,0)-IF(I16&lt;&gt;"",I16,0))*2,0)/2),"")</f>
        <v>0</v>
      </c>
      <c r="L16" s="34">
        <f>IF(K16&lt;&gt;"",K16,"")</f>
        <v>0</v>
      </c>
      <c r="M16" s="86"/>
      <c r="N16" s="109"/>
      <c r="Q16" s="10"/>
      <c r="R16" s="10"/>
    </row>
    <row r="17" spans="2:18" ht="27" customHeight="1" x14ac:dyDescent="0.3">
      <c r="B17" s="11">
        <v>1</v>
      </c>
      <c r="C17" s="25">
        <f t="shared" ref="C17:C44" ca="1" si="0">DATE(YEAR($D$6),$C$2,$B17)</f>
        <v>46023</v>
      </c>
      <c r="D17" s="49"/>
      <c r="E17" s="48"/>
      <c r="F17" s="53"/>
      <c r="G17" s="47"/>
      <c r="H17" s="51" t="s">
        <v>30</v>
      </c>
      <c r="I17" s="51"/>
      <c r="J17" s="52"/>
      <c r="K17" s="33" t="str">
        <f t="shared" ref="K17:K47" si="1">IF(AND(D17&lt;&gt;"",E17&lt;&gt;""),IF(H17="입력하세요","대체휴무지급  여부 입력",ROUNDDOWN(MAX(0,((E17-D17)*24)-IF(F17&lt;&gt;"",F17,0)-IF(I17&lt;&gt;"",I17,0))*2,0)/2),"")</f>
        <v/>
      </c>
      <c r="L17" s="34" t="str">
        <f t="shared" ref="L17:L47" si="2">IF(K17&lt;&gt;"",K17,"")</f>
        <v/>
      </c>
      <c r="M17" s="86"/>
      <c r="N17" s="109"/>
      <c r="Q17" s="10"/>
      <c r="R17" s="10"/>
    </row>
    <row r="18" spans="2:18" ht="27" customHeight="1" x14ac:dyDescent="0.3">
      <c r="B18" s="11">
        <v>2</v>
      </c>
      <c r="C18" s="25">
        <f t="shared" ca="1" si="0"/>
        <v>46024</v>
      </c>
      <c r="D18" s="47">
        <v>0.79166666666666663</v>
      </c>
      <c r="E18" s="48">
        <v>0.95833333333333337</v>
      </c>
      <c r="F18" s="53"/>
      <c r="G18" s="47"/>
      <c r="H18" s="51" t="s">
        <v>33</v>
      </c>
      <c r="I18" s="51">
        <v>4</v>
      </c>
      <c r="J18" s="52" t="s">
        <v>35</v>
      </c>
      <c r="K18" s="33">
        <f>IF(AND(D18&lt;&gt;"",E18&lt;&gt;""),IF(H18="입력하세요","대체휴무지급  여부 입력",ROUNDDOWN(MAX(0,((E18-D18)*24)-IF(F18&lt;&gt;"",F18,0)-IF(I18&lt;&gt;"",I18,0))*2,0)/2),"")</f>
        <v>0</v>
      </c>
      <c r="L18" s="34">
        <f t="shared" si="2"/>
        <v>0</v>
      </c>
      <c r="M18" s="86"/>
      <c r="N18" s="109"/>
      <c r="Q18" s="10"/>
      <c r="R18" s="10"/>
    </row>
    <row r="19" spans="2:18" ht="27" customHeight="1" x14ac:dyDescent="0.3">
      <c r="B19" s="11">
        <v>3</v>
      </c>
      <c r="C19" s="25">
        <f t="shared" ca="1" si="0"/>
        <v>46025</v>
      </c>
      <c r="D19" s="49"/>
      <c r="E19" s="48"/>
      <c r="F19" s="53"/>
      <c r="G19" s="47"/>
      <c r="H19" s="51" t="s">
        <v>26</v>
      </c>
      <c r="I19" s="51"/>
      <c r="J19" s="52"/>
      <c r="K19" s="33" t="str">
        <f t="shared" si="1"/>
        <v/>
      </c>
      <c r="L19" s="34" t="str">
        <f t="shared" si="2"/>
        <v/>
      </c>
      <c r="M19" s="86"/>
      <c r="N19" s="109"/>
      <c r="Q19" s="10"/>
      <c r="R19" s="10"/>
    </row>
    <row r="20" spans="2:18" ht="27" customHeight="1" x14ac:dyDescent="0.3">
      <c r="B20" s="11">
        <v>4</v>
      </c>
      <c r="C20" s="25">
        <f ca="1">DATE(YEAR($D$6),$C$2,$B20)</f>
        <v>46026</v>
      </c>
      <c r="D20" s="49"/>
      <c r="E20" s="47"/>
      <c r="F20" s="53"/>
      <c r="G20" s="47"/>
      <c r="H20" s="51" t="s">
        <v>26</v>
      </c>
      <c r="I20" s="51"/>
      <c r="J20" s="52"/>
      <c r="K20" s="33" t="str">
        <f t="shared" si="1"/>
        <v/>
      </c>
      <c r="L20" s="34" t="str">
        <f t="shared" si="2"/>
        <v/>
      </c>
      <c r="M20" s="86"/>
      <c r="N20" s="109"/>
      <c r="Q20" s="10"/>
      <c r="R20" s="10"/>
    </row>
    <row r="21" spans="2:18" ht="27" customHeight="1" x14ac:dyDescent="0.3">
      <c r="B21" s="11">
        <v>5</v>
      </c>
      <c r="C21" s="25">
        <f t="shared" ca="1" si="0"/>
        <v>46027</v>
      </c>
      <c r="D21" s="47">
        <v>0.75</v>
      </c>
      <c r="E21" s="48">
        <v>0.83333333333333337</v>
      </c>
      <c r="F21" s="53"/>
      <c r="G21" s="47"/>
      <c r="H21" s="51" t="s">
        <v>34</v>
      </c>
      <c r="I21" s="51"/>
      <c r="J21" s="52"/>
      <c r="K21" s="33">
        <f t="shared" si="1"/>
        <v>2</v>
      </c>
      <c r="L21" s="34">
        <f t="shared" si="2"/>
        <v>2</v>
      </c>
      <c r="M21" s="86"/>
      <c r="N21" s="109"/>
      <c r="Q21" s="10"/>
      <c r="R21" s="10"/>
    </row>
    <row r="22" spans="2:18" ht="27" customHeight="1" x14ac:dyDescent="0.3">
      <c r="B22" s="11">
        <v>6</v>
      </c>
      <c r="C22" s="25">
        <f t="shared" ca="1" si="0"/>
        <v>46028</v>
      </c>
      <c r="D22" s="49"/>
      <c r="E22" s="47"/>
      <c r="F22" s="53"/>
      <c r="G22" s="47"/>
      <c r="H22" s="51" t="s">
        <v>26</v>
      </c>
      <c r="I22" s="51"/>
      <c r="J22" s="52"/>
      <c r="K22" s="33" t="str">
        <f t="shared" si="1"/>
        <v/>
      </c>
      <c r="L22" s="34" t="str">
        <f t="shared" si="2"/>
        <v/>
      </c>
      <c r="M22" s="86"/>
      <c r="N22" s="109"/>
      <c r="Q22" s="10"/>
      <c r="R22" s="10"/>
    </row>
    <row r="23" spans="2:18" ht="27" customHeight="1" x14ac:dyDescent="0.3">
      <c r="B23" s="11">
        <v>7</v>
      </c>
      <c r="C23" s="25">
        <f t="shared" ca="1" si="0"/>
        <v>46029</v>
      </c>
      <c r="D23" s="49"/>
      <c r="E23" s="47"/>
      <c r="F23" s="53"/>
      <c r="G23" s="47"/>
      <c r="H23" s="51" t="s">
        <v>26</v>
      </c>
      <c r="I23" s="51"/>
      <c r="J23" s="52"/>
      <c r="K23" s="33" t="str">
        <f t="shared" si="1"/>
        <v/>
      </c>
      <c r="L23" s="34" t="str">
        <f t="shared" si="2"/>
        <v/>
      </c>
      <c r="M23" s="86"/>
      <c r="N23" s="109"/>
      <c r="Q23" s="10"/>
      <c r="R23" s="10"/>
    </row>
    <row r="24" spans="2:18" ht="27" customHeight="1" x14ac:dyDescent="0.3">
      <c r="B24" s="11">
        <v>8</v>
      </c>
      <c r="C24" s="25">
        <f t="shared" ca="1" si="0"/>
        <v>46030</v>
      </c>
      <c r="D24" s="49"/>
      <c r="E24" s="47"/>
      <c r="F24" s="53"/>
      <c r="G24" s="47"/>
      <c r="H24" s="51" t="s">
        <v>26</v>
      </c>
      <c r="I24" s="51"/>
      <c r="J24" s="52"/>
      <c r="K24" s="33" t="str">
        <f t="shared" si="1"/>
        <v/>
      </c>
      <c r="L24" s="34" t="str">
        <f t="shared" si="2"/>
        <v/>
      </c>
      <c r="M24" s="86"/>
      <c r="N24" s="109"/>
      <c r="Q24" s="10"/>
      <c r="R24" s="10"/>
    </row>
    <row r="25" spans="2:18" ht="27" customHeight="1" x14ac:dyDescent="0.3">
      <c r="B25" s="11">
        <v>9</v>
      </c>
      <c r="C25" s="25">
        <f t="shared" ca="1" si="0"/>
        <v>46031</v>
      </c>
      <c r="D25" s="49"/>
      <c r="E25" s="47"/>
      <c r="F25" s="53"/>
      <c r="G25" s="47"/>
      <c r="H25" s="51" t="s">
        <v>26</v>
      </c>
      <c r="I25" s="51"/>
      <c r="J25" s="52"/>
      <c r="K25" s="33" t="str">
        <f t="shared" si="1"/>
        <v/>
      </c>
      <c r="L25" s="34" t="str">
        <f t="shared" si="2"/>
        <v/>
      </c>
      <c r="M25" s="86"/>
      <c r="N25" s="109"/>
      <c r="Q25" s="10"/>
      <c r="R25" s="10"/>
    </row>
    <row r="26" spans="2:18" ht="27" customHeight="1" x14ac:dyDescent="0.3">
      <c r="B26" s="11">
        <v>10</v>
      </c>
      <c r="C26" s="25">
        <f t="shared" ca="1" si="0"/>
        <v>46032</v>
      </c>
      <c r="D26" s="49"/>
      <c r="E26" s="48"/>
      <c r="F26" s="53"/>
      <c r="G26" s="47"/>
      <c r="H26" s="51" t="s">
        <v>26</v>
      </c>
      <c r="I26" s="51"/>
      <c r="J26" s="52"/>
      <c r="K26" s="33" t="str">
        <f t="shared" si="1"/>
        <v/>
      </c>
      <c r="L26" s="34" t="str">
        <f t="shared" si="2"/>
        <v/>
      </c>
      <c r="M26" s="86"/>
      <c r="N26" s="109"/>
      <c r="Q26" s="10"/>
      <c r="R26" s="10"/>
    </row>
    <row r="27" spans="2:18" ht="27" customHeight="1" x14ac:dyDescent="0.3">
      <c r="B27" s="11">
        <v>11</v>
      </c>
      <c r="C27" s="25">
        <f t="shared" ca="1" si="0"/>
        <v>46033</v>
      </c>
      <c r="D27" s="49"/>
      <c r="E27" s="47"/>
      <c r="F27" s="53"/>
      <c r="G27" s="47"/>
      <c r="H27" s="51" t="s">
        <v>26</v>
      </c>
      <c r="I27" s="51"/>
      <c r="J27" s="52"/>
      <c r="K27" s="33" t="str">
        <f t="shared" si="1"/>
        <v/>
      </c>
      <c r="L27" s="34" t="str">
        <f t="shared" si="2"/>
        <v/>
      </c>
      <c r="M27" s="86"/>
      <c r="N27" s="109"/>
      <c r="Q27" s="10"/>
      <c r="R27" s="10"/>
    </row>
    <row r="28" spans="2:18" ht="27" customHeight="1" x14ac:dyDescent="0.3">
      <c r="B28" s="11">
        <v>12</v>
      </c>
      <c r="C28" s="25">
        <f t="shared" ca="1" si="0"/>
        <v>46034</v>
      </c>
      <c r="D28" s="49"/>
      <c r="E28" s="47"/>
      <c r="F28" s="53"/>
      <c r="G28" s="47"/>
      <c r="H28" s="51" t="s">
        <v>26</v>
      </c>
      <c r="I28" s="51"/>
      <c r="J28" s="52"/>
      <c r="K28" s="33" t="str">
        <f t="shared" si="1"/>
        <v/>
      </c>
      <c r="L28" s="34" t="str">
        <f t="shared" si="2"/>
        <v/>
      </c>
      <c r="M28" s="86"/>
      <c r="N28" s="109"/>
      <c r="Q28" s="10"/>
      <c r="R28" s="10"/>
    </row>
    <row r="29" spans="2:18" ht="27" customHeight="1" x14ac:dyDescent="0.3">
      <c r="B29" s="11">
        <v>13</v>
      </c>
      <c r="C29" s="25">
        <f t="shared" ca="1" si="0"/>
        <v>46035</v>
      </c>
      <c r="D29" s="49"/>
      <c r="E29" s="47"/>
      <c r="F29" s="53"/>
      <c r="G29" s="47"/>
      <c r="H29" s="51" t="s">
        <v>26</v>
      </c>
      <c r="I29" s="51"/>
      <c r="J29" s="52"/>
      <c r="K29" s="33" t="str">
        <f t="shared" si="1"/>
        <v/>
      </c>
      <c r="L29" s="34" t="str">
        <f t="shared" si="2"/>
        <v/>
      </c>
      <c r="M29" s="86"/>
      <c r="N29" s="109"/>
      <c r="Q29" s="10"/>
      <c r="R29" s="10"/>
    </row>
    <row r="30" spans="2:18" ht="27" customHeight="1" x14ac:dyDescent="0.3">
      <c r="B30" s="11">
        <v>14</v>
      </c>
      <c r="C30" s="25">
        <f t="shared" ca="1" si="0"/>
        <v>46036</v>
      </c>
      <c r="D30" s="49"/>
      <c r="E30" s="47"/>
      <c r="F30" s="53"/>
      <c r="G30" s="47"/>
      <c r="H30" s="51" t="s">
        <v>26</v>
      </c>
      <c r="I30" s="51"/>
      <c r="J30" s="52"/>
      <c r="K30" s="33" t="str">
        <f t="shared" si="1"/>
        <v/>
      </c>
      <c r="L30" s="34" t="str">
        <f t="shared" si="2"/>
        <v/>
      </c>
      <c r="M30" s="86"/>
      <c r="N30" s="109"/>
      <c r="Q30" s="10"/>
      <c r="R30" s="10"/>
    </row>
    <row r="31" spans="2:18" ht="27" customHeight="1" x14ac:dyDescent="0.3">
      <c r="B31" s="11">
        <v>15</v>
      </c>
      <c r="C31" s="25">
        <f t="shared" ca="1" si="0"/>
        <v>46037</v>
      </c>
      <c r="D31" s="49"/>
      <c r="E31" s="47"/>
      <c r="F31" s="53"/>
      <c r="G31" s="47"/>
      <c r="H31" s="51" t="s">
        <v>26</v>
      </c>
      <c r="I31" s="51"/>
      <c r="J31" s="52"/>
      <c r="K31" s="33" t="str">
        <f t="shared" si="1"/>
        <v/>
      </c>
      <c r="L31" s="34" t="str">
        <f t="shared" si="2"/>
        <v/>
      </c>
      <c r="M31" s="86"/>
      <c r="N31" s="109"/>
      <c r="Q31" s="10"/>
      <c r="R31" s="10"/>
    </row>
    <row r="32" spans="2:18" ht="27" customHeight="1" x14ac:dyDescent="0.3">
      <c r="B32" s="11">
        <v>16</v>
      </c>
      <c r="C32" s="25">
        <f t="shared" ca="1" si="0"/>
        <v>46038</v>
      </c>
      <c r="D32" s="49"/>
      <c r="E32" s="47"/>
      <c r="F32" s="53"/>
      <c r="G32" s="47"/>
      <c r="H32" s="51" t="s">
        <v>26</v>
      </c>
      <c r="I32" s="51"/>
      <c r="J32" s="52"/>
      <c r="K32" s="33" t="str">
        <f t="shared" si="1"/>
        <v/>
      </c>
      <c r="L32" s="34" t="str">
        <f t="shared" si="2"/>
        <v/>
      </c>
      <c r="M32" s="86"/>
      <c r="N32" s="109"/>
      <c r="Q32" s="10"/>
      <c r="R32" s="10"/>
    </row>
    <row r="33" spans="2:18" ht="27" customHeight="1" x14ac:dyDescent="0.3">
      <c r="B33" s="11">
        <v>17</v>
      </c>
      <c r="C33" s="25">
        <f t="shared" ca="1" si="0"/>
        <v>46039</v>
      </c>
      <c r="D33" s="49"/>
      <c r="E33" s="47"/>
      <c r="F33" s="53"/>
      <c r="G33" s="47"/>
      <c r="H33" s="51" t="s">
        <v>26</v>
      </c>
      <c r="I33" s="51"/>
      <c r="J33" s="52"/>
      <c r="K33" s="33" t="str">
        <f t="shared" si="1"/>
        <v/>
      </c>
      <c r="L33" s="34" t="str">
        <f t="shared" si="2"/>
        <v/>
      </c>
      <c r="M33" s="86"/>
      <c r="N33" s="109"/>
      <c r="Q33" s="10"/>
      <c r="R33" s="10"/>
    </row>
    <row r="34" spans="2:18" ht="27" customHeight="1" x14ac:dyDescent="0.3">
      <c r="B34" s="11">
        <v>18</v>
      </c>
      <c r="C34" s="25">
        <f t="shared" ca="1" si="0"/>
        <v>46040</v>
      </c>
      <c r="D34" s="49"/>
      <c r="E34" s="47"/>
      <c r="F34" s="53"/>
      <c r="G34" s="47"/>
      <c r="H34" s="51" t="s">
        <v>26</v>
      </c>
      <c r="I34" s="51"/>
      <c r="J34" s="52"/>
      <c r="K34" s="33" t="str">
        <f t="shared" si="1"/>
        <v/>
      </c>
      <c r="L34" s="34" t="str">
        <f t="shared" si="2"/>
        <v/>
      </c>
      <c r="M34" s="86"/>
      <c r="N34" s="109"/>
      <c r="Q34" s="10"/>
      <c r="R34" s="10"/>
    </row>
    <row r="35" spans="2:18" ht="27" customHeight="1" x14ac:dyDescent="0.3">
      <c r="B35" s="11">
        <v>19</v>
      </c>
      <c r="C35" s="25">
        <f t="shared" ca="1" si="0"/>
        <v>46041</v>
      </c>
      <c r="D35" s="49"/>
      <c r="E35" s="47"/>
      <c r="F35" s="53"/>
      <c r="G35" s="47"/>
      <c r="H35" s="51" t="s">
        <v>26</v>
      </c>
      <c r="I35" s="51"/>
      <c r="J35" s="52"/>
      <c r="K35" s="33" t="str">
        <f t="shared" si="1"/>
        <v/>
      </c>
      <c r="L35" s="34" t="str">
        <f t="shared" si="2"/>
        <v/>
      </c>
      <c r="M35" s="86"/>
      <c r="N35" s="109"/>
      <c r="Q35" s="10"/>
      <c r="R35" s="10"/>
    </row>
    <row r="36" spans="2:18" ht="27" customHeight="1" x14ac:dyDescent="0.3">
      <c r="B36" s="11">
        <v>20</v>
      </c>
      <c r="C36" s="25">
        <f t="shared" ca="1" si="0"/>
        <v>46042</v>
      </c>
      <c r="D36" s="49"/>
      <c r="E36" s="47"/>
      <c r="F36" s="53"/>
      <c r="G36" s="47"/>
      <c r="H36" s="51" t="s">
        <v>26</v>
      </c>
      <c r="I36" s="51"/>
      <c r="J36" s="52"/>
      <c r="K36" s="33" t="str">
        <f t="shared" si="1"/>
        <v/>
      </c>
      <c r="L36" s="34" t="str">
        <f t="shared" si="2"/>
        <v/>
      </c>
      <c r="M36" s="86"/>
      <c r="N36" s="109"/>
      <c r="Q36" s="10"/>
      <c r="R36" s="10"/>
    </row>
    <row r="37" spans="2:18" ht="27" customHeight="1" x14ac:dyDescent="0.3">
      <c r="B37" s="11">
        <v>21</v>
      </c>
      <c r="C37" s="25">
        <f t="shared" ca="1" si="0"/>
        <v>46043</v>
      </c>
      <c r="D37" s="49"/>
      <c r="E37" s="47"/>
      <c r="F37" s="53"/>
      <c r="G37" s="47"/>
      <c r="H37" s="51" t="s">
        <v>26</v>
      </c>
      <c r="I37" s="51"/>
      <c r="J37" s="52"/>
      <c r="K37" s="33" t="str">
        <f t="shared" si="1"/>
        <v/>
      </c>
      <c r="L37" s="34" t="str">
        <f t="shared" si="2"/>
        <v/>
      </c>
      <c r="M37" s="86"/>
      <c r="N37" s="109"/>
      <c r="Q37" s="10"/>
      <c r="R37" s="10"/>
    </row>
    <row r="38" spans="2:18" ht="27" customHeight="1" x14ac:dyDescent="0.3">
      <c r="B38" s="11">
        <v>22</v>
      </c>
      <c r="C38" s="25">
        <f t="shared" ca="1" si="0"/>
        <v>46044</v>
      </c>
      <c r="D38" s="49"/>
      <c r="E38" s="47"/>
      <c r="F38" s="53"/>
      <c r="G38" s="47"/>
      <c r="H38" s="51" t="s">
        <v>26</v>
      </c>
      <c r="I38" s="51"/>
      <c r="J38" s="52"/>
      <c r="K38" s="33" t="str">
        <f t="shared" si="1"/>
        <v/>
      </c>
      <c r="L38" s="34" t="str">
        <f t="shared" si="2"/>
        <v/>
      </c>
      <c r="M38" s="86"/>
      <c r="N38" s="109"/>
      <c r="Q38" s="10"/>
      <c r="R38" s="10"/>
    </row>
    <row r="39" spans="2:18" ht="27" customHeight="1" x14ac:dyDescent="0.3">
      <c r="B39" s="11">
        <v>23</v>
      </c>
      <c r="C39" s="25">
        <f t="shared" ca="1" si="0"/>
        <v>46045</v>
      </c>
      <c r="D39" s="49"/>
      <c r="E39" s="47"/>
      <c r="F39" s="53"/>
      <c r="G39" s="47"/>
      <c r="H39" s="51" t="s">
        <v>26</v>
      </c>
      <c r="I39" s="51"/>
      <c r="J39" s="52"/>
      <c r="K39" s="33" t="str">
        <f t="shared" si="1"/>
        <v/>
      </c>
      <c r="L39" s="34" t="str">
        <f t="shared" si="2"/>
        <v/>
      </c>
      <c r="M39" s="86"/>
      <c r="N39" s="109"/>
      <c r="Q39" s="10"/>
      <c r="R39" s="10"/>
    </row>
    <row r="40" spans="2:18" ht="27" customHeight="1" x14ac:dyDescent="0.3">
      <c r="B40" s="11">
        <v>24</v>
      </c>
      <c r="C40" s="25">
        <f t="shared" ca="1" si="0"/>
        <v>46046</v>
      </c>
      <c r="D40" s="49"/>
      <c r="E40" s="47"/>
      <c r="F40" s="53"/>
      <c r="G40" s="47"/>
      <c r="H40" s="51" t="s">
        <v>26</v>
      </c>
      <c r="I40" s="51"/>
      <c r="J40" s="52"/>
      <c r="K40" s="33" t="str">
        <f t="shared" si="1"/>
        <v/>
      </c>
      <c r="L40" s="34" t="str">
        <f t="shared" si="2"/>
        <v/>
      </c>
      <c r="M40" s="86"/>
      <c r="N40" s="109"/>
      <c r="Q40" s="10"/>
      <c r="R40" s="10"/>
    </row>
    <row r="41" spans="2:18" ht="27" customHeight="1" x14ac:dyDescent="0.3">
      <c r="B41" s="11">
        <v>25</v>
      </c>
      <c r="C41" s="25">
        <f t="shared" ca="1" si="0"/>
        <v>46047</v>
      </c>
      <c r="D41" s="49"/>
      <c r="E41" s="47"/>
      <c r="F41" s="53"/>
      <c r="G41" s="47"/>
      <c r="H41" s="51" t="s">
        <v>26</v>
      </c>
      <c r="I41" s="51"/>
      <c r="J41" s="52"/>
      <c r="K41" s="33" t="str">
        <f t="shared" si="1"/>
        <v/>
      </c>
      <c r="L41" s="34" t="str">
        <f t="shared" si="2"/>
        <v/>
      </c>
      <c r="M41" s="86"/>
      <c r="N41" s="109"/>
      <c r="Q41" s="10"/>
      <c r="R41" s="10"/>
    </row>
    <row r="42" spans="2:18" ht="27" customHeight="1" x14ac:dyDescent="0.3">
      <c r="B42" s="11">
        <v>26</v>
      </c>
      <c r="C42" s="25">
        <f t="shared" ca="1" si="0"/>
        <v>46048</v>
      </c>
      <c r="D42" s="49"/>
      <c r="E42" s="47"/>
      <c r="F42" s="53"/>
      <c r="G42" s="47"/>
      <c r="H42" s="51" t="s">
        <v>26</v>
      </c>
      <c r="I42" s="51"/>
      <c r="J42" s="52"/>
      <c r="K42" s="33" t="str">
        <f t="shared" si="1"/>
        <v/>
      </c>
      <c r="L42" s="34" t="str">
        <f t="shared" si="2"/>
        <v/>
      </c>
      <c r="M42" s="86"/>
      <c r="N42" s="109"/>
      <c r="Q42" s="10"/>
      <c r="R42" s="10"/>
    </row>
    <row r="43" spans="2:18" ht="27" customHeight="1" x14ac:dyDescent="0.3">
      <c r="B43" s="11">
        <v>27</v>
      </c>
      <c r="C43" s="25">
        <f t="shared" ca="1" si="0"/>
        <v>46049</v>
      </c>
      <c r="D43" s="49"/>
      <c r="E43" s="47"/>
      <c r="F43" s="53"/>
      <c r="G43" s="47"/>
      <c r="H43" s="51" t="s">
        <v>26</v>
      </c>
      <c r="I43" s="51"/>
      <c r="J43" s="52"/>
      <c r="K43" s="33" t="str">
        <f t="shared" si="1"/>
        <v/>
      </c>
      <c r="L43" s="34" t="str">
        <f t="shared" si="2"/>
        <v/>
      </c>
      <c r="M43" s="86"/>
      <c r="N43" s="109"/>
      <c r="Q43" s="10"/>
      <c r="R43" s="10"/>
    </row>
    <row r="44" spans="2:18" ht="27" customHeight="1" x14ac:dyDescent="0.3">
      <c r="B44" s="11">
        <v>28</v>
      </c>
      <c r="C44" s="25">
        <f t="shared" ca="1" si="0"/>
        <v>46050</v>
      </c>
      <c r="D44" s="49"/>
      <c r="E44" s="47"/>
      <c r="F44" s="53"/>
      <c r="G44" s="47"/>
      <c r="H44" s="51" t="s">
        <v>26</v>
      </c>
      <c r="I44" s="51"/>
      <c r="J44" s="52"/>
      <c r="K44" s="33" t="str">
        <f t="shared" si="1"/>
        <v/>
      </c>
      <c r="L44" s="34" t="str">
        <f t="shared" si="2"/>
        <v/>
      </c>
      <c r="M44" s="86"/>
      <c r="N44" s="109"/>
      <c r="Q44" s="10"/>
      <c r="R44" s="10"/>
    </row>
    <row r="45" spans="2:18" ht="27" customHeight="1" x14ac:dyDescent="0.3">
      <c r="B45" s="11">
        <v>29</v>
      </c>
      <c r="C45" s="25">
        <f ca="1">IF(MONTH(DATE(YEAR($D$6),$C$2,B45))&lt;&gt;MONTH($C$44),"공란",DATE(YEAR($D$6),$C$2,B45))</f>
        <v>46051</v>
      </c>
      <c r="D45" s="49"/>
      <c r="E45" s="47"/>
      <c r="F45" s="53"/>
      <c r="G45" s="47"/>
      <c r="H45" s="51" t="s">
        <v>26</v>
      </c>
      <c r="I45" s="51"/>
      <c r="J45" s="52"/>
      <c r="K45" s="33" t="str">
        <f t="shared" si="1"/>
        <v/>
      </c>
      <c r="L45" s="34" t="str">
        <f t="shared" si="2"/>
        <v/>
      </c>
      <c r="M45" s="86"/>
      <c r="N45" s="109"/>
      <c r="Q45" s="10"/>
      <c r="R45" s="10"/>
    </row>
    <row r="46" spans="2:18" ht="27" customHeight="1" x14ac:dyDescent="0.3">
      <c r="B46" s="11">
        <v>30</v>
      </c>
      <c r="C46" s="25">
        <f ca="1">IF(MONTH(DATE(YEAR($D$6),$C$2,B46))&lt;&gt;MONTH($C$44),"공란",DATE(YEAR($D$6),$C$2,B46))</f>
        <v>46052</v>
      </c>
      <c r="D46" s="49"/>
      <c r="E46" s="47"/>
      <c r="F46" s="53"/>
      <c r="G46" s="47"/>
      <c r="H46" s="51" t="s">
        <v>26</v>
      </c>
      <c r="I46" s="51"/>
      <c r="J46" s="52"/>
      <c r="K46" s="33" t="str">
        <f t="shared" si="1"/>
        <v/>
      </c>
      <c r="L46" s="34" t="str">
        <f t="shared" si="2"/>
        <v/>
      </c>
      <c r="M46" s="86"/>
      <c r="N46" s="109"/>
      <c r="Q46" s="10"/>
      <c r="R46" s="10"/>
    </row>
    <row r="47" spans="2:18" ht="27" customHeight="1" x14ac:dyDescent="0.3">
      <c r="B47" s="11">
        <v>31</v>
      </c>
      <c r="C47" s="25">
        <f ca="1">IF(MONTH(DATE(YEAR($D$6),$C$2,B47))&lt;&gt;MONTH($C$44),"공란",DATE(YEAR($D$6),$C$2,B47))</f>
        <v>46053</v>
      </c>
      <c r="D47" s="49"/>
      <c r="E47" s="47"/>
      <c r="F47" s="53"/>
      <c r="G47" s="47"/>
      <c r="H47" s="51" t="s">
        <v>26</v>
      </c>
      <c r="I47" s="51"/>
      <c r="J47" s="52"/>
      <c r="K47" s="33" t="str">
        <f t="shared" si="1"/>
        <v/>
      </c>
      <c r="L47" s="34" t="str">
        <f t="shared" si="2"/>
        <v/>
      </c>
      <c r="M47" s="86"/>
      <c r="N47" s="109"/>
      <c r="Q47" s="10"/>
      <c r="R47" s="10"/>
    </row>
    <row r="48" spans="2:18" ht="24.95" customHeight="1" x14ac:dyDescent="0.3">
      <c r="B48" s="110" t="s">
        <v>6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2"/>
      <c r="Q48" s="10"/>
      <c r="R48" s="10"/>
    </row>
    <row r="49" spans="17:18" x14ac:dyDescent="0.3">
      <c r="Q49" s="10"/>
      <c r="R49" s="10"/>
    </row>
    <row r="50" spans="17:18" x14ac:dyDescent="0.3">
      <c r="Q50" s="10"/>
      <c r="R50" s="10"/>
    </row>
    <row r="51" spans="17:18" x14ac:dyDescent="0.3">
      <c r="Q51" s="10"/>
      <c r="R51" s="10"/>
    </row>
    <row r="52" spans="17:18" x14ac:dyDescent="0.3">
      <c r="Q52" s="10"/>
      <c r="R52" s="10"/>
    </row>
    <row r="53" spans="17:18" x14ac:dyDescent="0.3">
      <c r="Q53" s="10"/>
      <c r="R53" s="10"/>
    </row>
    <row r="54" spans="17:18" x14ac:dyDescent="0.3">
      <c r="Q54" s="10"/>
      <c r="R54" s="10"/>
    </row>
    <row r="55" spans="17:18" x14ac:dyDescent="0.3">
      <c r="Q55" s="10"/>
      <c r="R55" s="10"/>
    </row>
    <row r="56" spans="17:18" x14ac:dyDescent="0.3">
      <c r="Q56" s="10"/>
      <c r="R56" s="10"/>
    </row>
    <row r="57" spans="17:18" x14ac:dyDescent="0.3">
      <c r="Q57" s="10"/>
      <c r="R57" s="10"/>
    </row>
    <row r="58" spans="17:18" x14ac:dyDescent="0.3">
      <c r="Q58" s="10"/>
      <c r="R58" s="10"/>
    </row>
    <row r="59" spans="17:18" x14ac:dyDescent="0.3">
      <c r="Q59" s="10"/>
      <c r="R59" s="10"/>
    </row>
    <row r="60" spans="17:18" x14ac:dyDescent="0.3">
      <c r="Q60" s="10"/>
      <c r="R60" s="10"/>
    </row>
    <row r="61" spans="17:18" x14ac:dyDescent="0.3">
      <c r="Q61" s="10"/>
      <c r="R61" s="10"/>
    </row>
    <row r="62" spans="17:18" x14ac:dyDescent="0.3">
      <c r="Q62" s="10"/>
      <c r="R62" s="10"/>
    </row>
    <row r="63" spans="17:18" x14ac:dyDescent="0.3">
      <c r="Q63" s="10"/>
      <c r="R63" s="10"/>
    </row>
    <row r="64" spans="17:18" x14ac:dyDescent="0.3">
      <c r="Q64" s="10"/>
      <c r="R64" s="10"/>
    </row>
    <row r="65" spans="17:18" x14ac:dyDescent="0.3">
      <c r="Q65" s="10"/>
      <c r="R65" s="10"/>
    </row>
  </sheetData>
  <sheetProtection algorithmName="SHA-512" hashValue="ZlFH4ZhU28g5nOxQabjvolwc/GpbeiyUBfc3nxGqY0G2DMv3Mku+LjbJbyiOx8H7QuKN/+UAnzKwebJcJVVVMQ==" saltValue="iobpx6hQalnBmRaamFl9vA==" spinCount="100000" sheet="1" objects="1" scenarios="1"/>
  <mergeCells count="44">
    <mergeCell ref="M46:N46"/>
    <mergeCell ref="M47:N47"/>
    <mergeCell ref="B48:N48"/>
    <mergeCell ref="M41:N41"/>
    <mergeCell ref="M42:N42"/>
    <mergeCell ref="M43:N43"/>
    <mergeCell ref="M44:N44"/>
    <mergeCell ref="M45:N45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M21:N21"/>
    <mergeCell ref="M22:N22"/>
    <mergeCell ref="M23:N23"/>
    <mergeCell ref="M24:N24"/>
    <mergeCell ref="M25:N25"/>
    <mergeCell ref="M16:N16"/>
    <mergeCell ref="M17:N17"/>
    <mergeCell ref="M18:N18"/>
    <mergeCell ref="M19:N19"/>
    <mergeCell ref="M20:N20"/>
    <mergeCell ref="M15:N15"/>
    <mergeCell ref="C2:K3"/>
    <mergeCell ref="S3:U3"/>
    <mergeCell ref="S5:S7"/>
    <mergeCell ref="T5:T7"/>
    <mergeCell ref="U5:U7"/>
    <mergeCell ref="S10:T10"/>
    <mergeCell ref="K13:N13"/>
    <mergeCell ref="K14:N14"/>
    <mergeCell ref="B14:J14"/>
    <mergeCell ref="B13:J13"/>
  </mergeCells>
  <phoneticPr fontId="1" type="noConversion"/>
  <conditionalFormatting sqref="F16">
    <cfRule type="cellIs" dxfId="2" priority="7" operator="equal">
      <formula>"O"</formula>
    </cfRule>
  </conditionalFormatting>
  <conditionalFormatting sqref="H16:H47">
    <cfRule type="cellIs" dxfId="1" priority="6" operator="equal">
      <formula>"입력하세요"</formula>
    </cfRule>
    <cfRule type="cellIs" dxfId="0" priority="9" operator="equal">
      <formula>"O"</formula>
    </cfRule>
  </conditionalFormatting>
  <dataValidations disablePrompts="1" count="2">
    <dataValidation type="list" allowBlank="1" showInputMessage="1" showErrorMessage="1" sqref="H16:H47" xr:uid="{E3B9210D-368B-4FB4-A368-8A854721BFF3}">
      <formula1>"입력하세요,O,X"</formula1>
    </dataValidation>
    <dataValidation type="whole" allowBlank="1" showInputMessage="1" showErrorMessage="1" sqref="C2:Q3" xr:uid="{58D07217-8D09-46B8-980E-027E75CF5997}">
      <formula1>1</formula1>
      <formula2>12</formula2>
    </dataValidation>
  </dataValidations>
  <pageMargins left="0.7" right="0.7" top="0.75" bottom="0.75" header="0.3" footer="0.3"/>
  <pageSetup paperSize="9" scale="52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양식</vt:lpstr>
      <vt:lpstr>수당신청서(작성예시)</vt:lpstr>
      <vt:lpstr>'수당신청서(작성예시)'!Print_Area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도영</dc:creator>
  <cp:lastModifiedBy>김 유진</cp:lastModifiedBy>
  <cp:lastPrinted>2025-03-21T04:35:26Z</cp:lastPrinted>
  <dcterms:created xsi:type="dcterms:W3CDTF">2022-06-22T03:01:23Z</dcterms:created>
  <dcterms:modified xsi:type="dcterms:W3CDTF">2026-08-03T23:55:32Z</dcterms:modified>
</cp:coreProperties>
</file>