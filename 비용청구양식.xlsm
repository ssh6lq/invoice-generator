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31" codeName="{643B0D74-A683-FBA9-23B4-8A0AA6E0B6B9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/Users/sso/Downloads/"/>
    </mc:Choice>
  </mc:AlternateContent>
  <xr:revisionPtr revIDLastSave="0" documentId="8_{32AED434-136C-B748-B9ED-E35119D6EAFE}" xr6:coauthVersionLast="47" xr6:coauthVersionMax="47" xr10:uidLastSave="{00000000-0000-0000-0000-000000000000}"/>
  <bookViews>
    <workbookView xWindow="3120" yWindow="660" windowWidth="29040" windowHeight="15720" activeTab="1" xr2:uid="{00000000-000D-0000-FFFF-FFFF00000000}"/>
  </bookViews>
  <sheets>
    <sheet name="사용전안내" sheetId="20" r:id="rId1"/>
    <sheet name="작성시트" sheetId="17" r:id="rId2"/>
    <sheet name="교통비상세" sheetId="23" r:id="rId3"/>
    <sheet name="비용청구서" sheetId="24" state="veryHidden" r:id="rId4"/>
    <sheet name="매크로안내" sheetId="21" state="veryHidden" r:id="rId5"/>
    <sheet name="청구절차안내" sheetId="22" state="veryHidden" r:id="rId6"/>
    <sheet name="비용지원안내" sheetId="13" state="veryHidden" r:id="rId7"/>
  </sheets>
  <definedNames>
    <definedName name="_xlnm._FilterDatabase" localSheetId="6" hidden="1">비용지원안내!$A$4:$G$4</definedName>
    <definedName name="_xlnm.Print_Area" localSheetId="3">비용청구서!$B$2:$L$47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" i="23" l="1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C42" i="23"/>
  <c r="C43" i="23"/>
  <c r="C44" i="23"/>
  <c r="C45" i="23"/>
  <c r="C46" i="23"/>
  <c r="C47" i="23"/>
  <c r="C48" i="23"/>
  <c r="C49" i="23"/>
  <c r="C50" i="23"/>
  <c r="C51" i="23"/>
  <c r="C52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C101" i="23"/>
  <c r="C102" i="23"/>
  <c r="C103" i="23"/>
  <c r="C104" i="23"/>
  <c r="C105" i="23"/>
  <c r="C106" i="23"/>
  <c r="K11" i="23"/>
  <c r="O286" i="23"/>
  <c r="O9" i="23"/>
  <c r="K7" i="23" l="1"/>
  <c r="K8" i="23"/>
  <c r="K9" i="23"/>
  <c r="K10" i="23"/>
  <c r="K12" i="23"/>
  <c r="K13" i="23"/>
  <c r="K14" i="23"/>
  <c r="K15" i="23"/>
  <c r="K16" i="23"/>
  <c r="K17" i="23"/>
  <c r="K18" i="23"/>
  <c r="K19" i="23"/>
  <c r="K20" i="23"/>
  <c r="K21" i="23"/>
  <c r="K22" i="23"/>
  <c r="K23" i="23"/>
  <c r="K24" i="23"/>
  <c r="K25" i="23"/>
  <c r="K26" i="23"/>
  <c r="K27" i="23"/>
  <c r="K28" i="23"/>
  <c r="K29" i="23"/>
  <c r="K30" i="23"/>
  <c r="K31" i="23"/>
  <c r="K32" i="23"/>
  <c r="K33" i="23"/>
  <c r="K34" i="23"/>
  <c r="K35" i="23"/>
  <c r="K36" i="23"/>
  <c r="K37" i="23"/>
  <c r="K38" i="23"/>
  <c r="K39" i="23"/>
  <c r="K40" i="23"/>
  <c r="K41" i="23"/>
  <c r="K42" i="23"/>
  <c r="K43" i="23"/>
  <c r="K44" i="23"/>
  <c r="K45" i="23"/>
  <c r="K46" i="23"/>
  <c r="K47" i="23"/>
  <c r="K48" i="23"/>
  <c r="K49" i="23"/>
  <c r="K50" i="23"/>
  <c r="K51" i="23"/>
  <c r="K52" i="23"/>
  <c r="K53" i="23"/>
  <c r="K54" i="23"/>
  <c r="K55" i="23"/>
  <c r="K56" i="23"/>
  <c r="K57" i="23"/>
  <c r="K58" i="23"/>
  <c r="K59" i="23"/>
  <c r="K60" i="23"/>
  <c r="K61" i="23"/>
  <c r="K62" i="23"/>
  <c r="K63" i="23"/>
  <c r="K64" i="23"/>
  <c r="K65" i="23"/>
  <c r="K66" i="23"/>
  <c r="K67" i="23"/>
  <c r="K68" i="23"/>
  <c r="K69" i="23"/>
  <c r="K70" i="23"/>
  <c r="K71" i="23"/>
  <c r="K72" i="23"/>
  <c r="K73" i="23"/>
  <c r="K74" i="23"/>
  <c r="K75" i="23"/>
  <c r="K76" i="23"/>
  <c r="K77" i="23"/>
  <c r="K78" i="23"/>
  <c r="K79" i="23"/>
  <c r="K80" i="23"/>
  <c r="K81" i="23"/>
  <c r="K82" i="23"/>
  <c r="K83" i="23"/>
  <c r="K84" i="23"/>
  <c r="K85" i="23"/>
  <c r="K86" i="23"/>
  <c r="K87" i="23"/>
  <c r="K88" i="23"/>
  <c r="K89" i="23"/>
  <c r="K90" i="23"/>
  <c r="K91" i="23"/>
  <c r="K92" i="23"/>
  <c r="K93" i="23"/>
  <c r="K94" i="23"/>
  <c r="K95" i="23"/>
  <c r="K96" i="23"/>
  <c r="K97" i="23"/>
  <c r="K98" i="23"/>
  <c r="K99" i="23"/>
  <c r="K100" i="23"/>
  <c r="K101" i="23"/>
  <c r="K102" i="23"/>
  <c r="K103" i="23"/>
  <c r="K104" i="23"/>
  <c r="K105" i="23"/>
  <c r="K106" i="23"/>
  <c r="K6" i="23"/>
  <c r="H11" i="24" l="1"/>
  <c r="B41" i="24" l="1"/>
  <c r="B40" i="24"/>
  <c r="B39" i="24"/>
  <c r="B38" i="24"/>
  <c r="B37" i="24"/>
  <c r="B36" i="24"/>
  <c r="B35" i="24"/>
  <c r="B34" i="24"/>
  <c r="B33" i="24"/>
  <c r="B32" i="24"/>
  <c r="B31" i="24"/>
  <c r="B30" i="24"/>
  <c r="B29" i="24"/>
  <c r="B28" i="24"/>
  <c r="B27" i="24"/>
  <c r="B26" i="24"/>
  <c r="B25" i="24"/>
  <c r="B24" i="24"/>
  <c r="B23" i="24"/>
  <c r="B22" i="24"/>
  <c r="B21" i="24"/>
  <c r="B20" i="24"/>
  <c r="B19" i="24"/>
  <c r="B18" i="24"/>
  <c r="B17" i="24"/>
  <c r="H13" i="24"/>
  <c r="H12" i="24"/>
  <c r="H10" i="24"/>
  <c r="N16" i="17"/>
  <c r="N17" i="17"/>
  <c r="N18" i="17"/>
  <c r="N19" i="17"/>
  <c r="N20" i="17"/>
  <c r="N21" i="17"/>
  <c r="N22" i="17"/>
  <c r="N23" i="17"/>
  <c r="N24" i="17"/>
  <c r="N25" i="17"/>
  <c r="N26" i="17"/>
  <c r="N27" i="17"/>
  <c r="N28" i="17"/>
  <c r="N29" i="17"/>
  <c r="N30" i="17"/>
  <c r="N31" i="17"/>
  <c r="N32" i="17"/>
  <c r="N33" i="17"/>
  <c r="N34" i="17"/>
  <c r="N35" i="17"/>
  <c r="N36" i="17"/>
  <c r="N37" i="17"/>
  <c r="N38" i="17"/>
  <c r="N39" i="17"/>
  <c r="N40" i="17"/>
  <c r="N41" i="17"/>
  <c r="N42" i="17"/>
  <c r="N43" i="17"/>
  <c r="N44" i="17"/>
  <c r="N45" i="17"/>
  <c r="N46" i="17"/>
  <c r="N47" i="17"/>
  <c r="N48" i="17"/>
  <c r="N49" i="17"/>
  <c r="N50" i="17"/>
  <c r="N51" i="17"/>
  <c r="N52" i="17"/>
  <c r="N53" i="17"/>
  <c r="N54" i="17"/>
  <c r="N55" i="17"/>
  <c r="N56" i="17"/>
  <c r="N57" i="17"/>
  <c r="N58" i="17"/>
  <c r="N59" i="17"/>
  <c r="N60" i="17"/>
  <c r="N61" i="17"/>
  <c r="N62" i="17"/>
  <c r="N63" i="17"/>
  <c r="N64" i="17"/>
  <c r="N65" i="17"/>
  <c r="N66" i="17"/>
  <c r="N67" i="17"/>
  <c r="N68" i="17"/>
  <c r="N69" i="17"/>
  <c r="N70" i="17"/>
  <c r="N71" i="17"/>
  <c r="N72" i="17"/>
  <c r="N73" i="17"/>
  <c r="N74" i="17"/>
  <c r="N75" i="17"/>
  <c r="N76" i="17"/>
  <c r="N77" i="17"/>
  <c r="N78" i="17"/>
  <c r="N79" i="17"/>
  <c r="N80" i="17"/>
  <c r="N81" i="17"/>
  <c r="N82" i="17"/>
  <c r="N83" i="17"/>
  <c r="N84" i="17"/>
  <c r="N85" i="17"/>
  <c r="N86" i="17"/>
  <c r="N87" i="17"/>
  <c r="N88" i="17"/>
  <c r="N89" i="17"/>
  <c r="N90" i="17"/>
  <c r="N91" i="17"/>
  <c r="N92" i="17"/>
  <c r="N93" i="17"/>
  <c r="N94" i="17"/>
  <c r="N95" i="17"/>
  <c r="N96" i="17"/>
  <c r="N97" i="17"/>
  <c r="N98" i="17"/>
  <c r="N99" i="17"/>
  <c r="N100" i="17"/>
  <c r="N101" i="17"/>
  <c r="N102" i="17"/>
  <c r="N103" i="17"/>
  <c r="N104" i="17"/>
  <c r="N105" i="17"/>
  <c r="N106" i="17"/>
  <c r="N107" i="17"/>
  <c r="N108" i="17"/>
  <c r="N109" i="17"/>
  <c r="N110" i="17"/>
  <c r="N111" i="17"/>
  <c r="N112" i="17"/>
  <c r="N113" i="17"/>
  <c r="N114" i="17"/>
  <c r="N15" i="17"/>
  <c r="I16" i="17"/>
  <c r="I17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I99" i="17"/>
  <c r="I100" i="17"/>
  <c r="I101" i="17"/>
  <c r="I102" i="17"/>
  <c r="I103" i="17"/>
  <c r="I104" i="17"/>
  <c r="I105" i="17"/>
  <c r="I106" i="17"/>
  <c r="I107" i="17"/>
  <c r="I108" i="17"/>
  <c r="I109" i="17"/>
  <c r="I110" i="17"/>
  <c r="I111" i="17"/>
  <c r="I112" i="17"/>
  <c r="I113" i="17"/>
  <c r="I114" i="17"/>
  <c r="I15" i="17"/>
  <c r="O300" i="23"/>
  <c r="O299" i="23"/>
  <c r="O298" i="23"/>
  <c r="O297" i="23"/>
  <c r="O296" i="23"/>
  <c r="O295" i="23"/>
  <c r="O294" i="23"/>
  <c r="O293" i="23"/>
  <c r="O292" i="23"/>
  <c r="O291" i="23"/>
  <c r="O290" i="23"/>
  <c r="O289" i="23"/>
  <c r="O288" i="23"/>
  <c r="O287" i="23"/>
  <c r="O285" i="23"/>
  <c r="O284" i="23"/>
  <c r="O283" i="23"/>
  <c r="O282" i="23"/>
  <c r="O281" i="23"/>
  <c r="O280" i="23"/>
  <c r="O279" i="23"/>
  <c r="O278" i="23"/>
  <c r="O277" i="23"/>
  <c r="O276" i="23"/>
  <c r="O275" i="23"/>
  <c r="O274" i="23"/>
  <c r="O273" i="23"/>
  <c r="O272" i="23"/>
  <c r="O271" i="23"/>
  <c r="O270" i="23"/>
  <c r="O269" i="23"/>
  <c r="O268" i="23"/>
  <c r="O267" i="23"/>
  <c r="O266" i="23"/>
  <c r="O265" i="23"/>
  <c r="O264" i="23"/>
  <c r="O263" i="23"/>
  <c r="O262" i="23"/>
  <c r="O261" i="23"/>
  <c r="O260" i="23"/>
  <c r="O259" i="23"/>
  <c r="O258" i="23"/>
  <c r="O257" i="23"/>
  <c r="O256" i="23"/>
  <c r="O255" i="23"/>
  <c r="O254" i="23"/>
  <c r="O253" i="23"/>
  <c r="O252" i="23"/>
  <c r="O251" i="23"/>
  <c r="O250" i="23"/>
  <c r="O249" i="23"/>
  <c r="O248" i="23"/>
  <c r="O247" i="23"/>
  <c r="O246" i="23"/>
  <c r="O245" i="23"/>
  <c r="O244" i="23"/>
  <c r="O243" i="23"/>
  <c r="O242" i="23"/>
  <c r="O241" i="23"/>
  <c r="O240" i="23"/>
  <c r="O239" i="23"/>
  <c r="O238" i="23"/>
  <c r="O237" i="23"/>
  <c r="O236" i="23"/>
  <c r="O235" i="23"/>
  <c r="O234" i="23"/>
  <c r="O233" i="23"/>
  <c r="O232" i="23"/>
  <c r="O231" i="23"/>
  <c r="O230" i="23"/>
  <c r="O229" i="23"/>
  <c r="O228" i="23"/>
  <c r="O227" i="23"/>
  <c r="O226" i="23"/>
  <c r="O225" i="23"/>
  <c r="O224" i="23"/>
  <c r="O223" i="23"/>
  <c r="O222" i="23"/>
  <c r="O221" i="23"/>
  <c r="O220" i="23"/>
  <c r="O219" i="23"/>
  <c r="O218" i="23"/>
  <c r="O217" i="23"/>
  <c r="O216" i="23"/>
  <c r="O215" i="23"/>
  <c r="O214" i="23"/>
  <c r="O213" i="23"/>
  <c r="O212" i="23"/>
  <c r="O211" i="23"/>
  <c r="O210" i="23"/>
  <c r="O209" i="23"/>
  <c r="O208" i="23"/>
  <c r="O207" i="23"/>
  <c r="O206" i="23"/>
  <c r="O205" i="23"/>
  <c r="O204" i="23"/>
  <c r="O203" i="23"/>
  <c r="O202" i="23"/>
  <c r="O201" i="23"/>
  <c r="O200" i="23"/>
  <c r="O199" i="23"/>
  <c r="O198" i="23"/>
  <c r="O197" i="23"/>
  <c r="O196" i="23"/>
  <c r="O195" i="23"/>
  <c r="O194" i="23"/>
  <c r="O193" i="23"/>
  <c r="O192" i="23"/>
  <c r="O191" i="23"/>
  <c r="O190" i="23"/>
  <c r="O189" i="23"/>
  <c r="O188" i="23"/>
  <c r="O187" i="23"/>
  <c r="O186" i="23"/>
  <c r="O185" i="23"/>
  <c r="O184" i="23"/>
  <c r="O183" i="23"/>
  <c r="O182" i="23"/>
  <c r="O181" i="23"/>
  <c r="O180" i="23"/>
  <c r="O179" i="23"/>
  <c r="O178" i="23"/>
  <c r="O177" i="23"/>
  <c r="O176" i="23"/>
  <c r="O175" i="23"/>
  <c r="O174" i="23"/>
  <c r="O173" i="23"/>
  <c r="O172" i="23"/>
  <c r="O171" i="23"/>
  <c r="O170" i="23"/>
  <c r="O169" i="23"/>
  <c r="O168" i="23"/>
  <c r="O167" i="23"/>
  <c r="O166" i="23"/>
  <c r="O165" i="23"/>
  <c r="O164" i="23"/>
  <c r="O163" i="23"/>
  <c r="O162" i="23"/>
  <c r="O161" i="23"/>
  <c r="O160" i="23"/>
  <c r="O159" i="23"/>
  <c r="O158" i="23"/>
  <c r="O157" i="23"/>
  <c r="O156" i="23"/>
  <c r="O155" i="23"/>
  <c r="O154" i="23"/>
  <c r="O153" i="23"/>
  <c r="O152" i="23"/>
  <c r="O151" i="23"/>
  <c r="O150" i="23"/>
  <c r="O149" i="23"/>
  <c r="O148" i="23"/>
  <c r="O147" i="23"/>
  <c r="O146" i="23"/>
  <c r="O145" i="23"/>
  <c r="O144" i="23"/>
  <c r="O143" i="23"/>
  <c r="O142" i="23"/>
  <c r="O141" i="23"/>
  <c r="O140" i="23"/>
  <c r="O139" i="23"/>
  <c r="O138" i="23"/>
  <c r="O137" i="23"/>
  <c r="O136" i="23"/>
  <c r="O135" i="23"/>
  <c r="O134" i="23"/>
  <c r="O133" i="23"/>
  <c r="O132" i="23"/>
  <c r="O131" i="23"/>
  <c r="O130" i="23"/>
  <c r="O129" i="23"/>
  <c r="O128" i="23"/>
  <c r="O127" i="23"/>
  <c r="O126" i="23"/>
  <c r="O125" i="23"/>
  <c r="O124" i="23"/>
  <c r="O123" i="23"/>
  <c r="O122" i="23"/>
  <c r="O121" i="23"/>
  <c r="O120" i="23"/>
  <c r="O119" i="23"/>
  <c r="O118" i="23"/>
  <c r="O117" i="23"/>
  <c r="O116" i="23"/>
  <c r="O115" i="23"/>
  <c r="O114" i="23"/>
  <c r="O113" i="23"/>
  <c r="O112" i="23"/>
  <c r="O111" i="23"/>
  <c r="O110" i="23"/>
  <c r="O109" i="23"/>
  <c r="O108" i="23"/>
  <c r="O107" i="23"/>
  <c r="O106" i="23"/>
  <c r="O105" i="23"/>
  <c r="O104" i="23"/>
  <c r="O103" i="23"/>
  <c r="O102" i="23"/>
  <c r="O101" i="23"/>
  <c r="O100" i="23"/>
  <c r="O99" i="23"/>
  <c r="O98" i="23"/>
  <c r="O97" i="23"/>
  <c r="O96" i="23"/>
  <c r="O95" i="23"/>
  <c r="O94" i="23"/>
  <c r="O93" i="23"/>
  <c r="O92" i="23"/>
  <c r="O91" i="23"/>
  <c r="O90" i="23"/>
  <c r="O89" i="23"/>
  <c r="O88" i="23"/>
  <c r="O87" i="23"/>
  <c r="O86" i="23"/>
  <c r="O85" i="23"/>
  <c r="O84" i="23"/>
  <c r="O83" i="23"/>
  <c r="O82" i="23"/>
  <c r="O81" i="23"/>
  <c r="O80" i="23"/>
  <c r="O79" i="23"/>
  <c r="O78" i="23"/>
  <c r="O77" i="23"/>
  <c r="O76" i="23"/>
  <c r="O75" i="23"/>
  <c r="O74" i="23"/>
  <c r="O73" i="23"/>
  <c r="O72" i="23"/>
  <c r="O71" i="23"/>
  <c r="O70" i="23"/>
  <c r="O69" i="23"/>
  <c r="O68" i="23"/>
  <c r="O67" i="23"/>
  <c r="O66" i="23"/>
  <c r="O65" i="23"/>
  <c r="O64" i="23"/>
  <c r="O63" i="23"/>
  <c r="O62" i="23"/>
  <c r="O61" i="23"/>
  <c r="O60" i="23"/>
  <c r="O59" i="23"/>
  <c r="O58" i="23"/>
  <c r="O57" i="23"/>
  <c r="O56" i="23"/>
  <c r="O55" i="23"/>
  <c r="O54" i="23"/>
  <c r="O53" i="23"/>
  <c r="O52" i="23"/>
  <c r="O51" i="23"/>
  <c r="O50" i="23"/>
  <c r="O49" i="23"/>
  <c r="O48" i="23"/>
  <c r="O47" i="23"/>
  <c r="O46" i="23"/>
  <c r="O45" i="23"/>
  <c r="O44" i="23"/>
  <c r="O43" i="23"/>
  <c r="O42" i="23"/>
  <c r="O41" i="23"/>
  <c r="O40" i="23"/>
  <c r="O39" i="23"/>
  <c r="O38" i="23"/>
  <c r="O37" i="23"/>
  <c r="O36" i="23"/>
  <c r="O35" i="23"/>
  <c r="O34" i="23"/>
  <c r="O33" i="23"/>
  <c r="O32" i="23"/>
  <c r="O31" i="23"/>
  <c r="O30" i="23"/>
  <c r="O29" i="23"/>
  <c r="O28" i="23"/>
  <c r="O27" i="23"/>
  <c r="O26" i="23"/>
  <c r="O25" i="23"/>
  <c r="O24" i="23"/>
  <c r="O23" i="23"/>
  <c r="O22" i="23"/>
  <c r="O21" i="23"/>
  <c r="O20" i="23"/>
  <c r="O19" i="23"/>
  <c r="O18" i="23"/>
  <c r="O17" i="23"/>
  <c r="O16" i="23"/>
  <c r="O15" i="23"/>
  <c r="O14" i="23"/>
  <c r="O13" i="23"/>
  <c r="O12" i="23"/>
  <c r="O11" i="23"/>
  <c r="O10" i="23"/>
  <c r="O8" i="23"/>
  <c r="O7" i="23"/>
  <c r="O6" i="23"/>
  <c r="C6" i="23"/>
  <c r="U5" i="23"/>
  <c r="T5" i="23"/>
  <c r="J5" i="23"/>
  <c r="K5" i="23" l="1"/>
  <c r="I11" i="17"/>
  <c r="N11" i="17"/>
  <c r="B16" i="17" l="1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31" i="17"/>
  <c r="B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5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도영</author>
  </authors>
  <commentList>
    <comment ref="D9" authorId="0" shapeId="0" xr:uid="{CD86AA49-10DF-4AF2-B8C7-4D3893322C08}">
      <text>
        <r>
          <rPr>
            <sz val="9"/>
            <color indexed="81"/>
            <rFont val="함초롬돋움"/>
            <family val="3"/>
            <charset val="129"/>
          </rPr>
          <t xml:space="preserve">인터넷상거래 등 대행결제로 인해 영수증 상에 </t>
        </r>
        <r>
          <rPr>
            <b/>
            <sz val="9"/>
            <color indexed="81"/>
            <rFont val="함초롬돋움"/>
            <family val="3"/>
            <charset val="129"/>
          </rPr>
          <t>거래처명이 2개이상으로 기재된 경우 거래처명에 '실제 판매자'를 기재</t>
        </r>
        <r>
          <rPr>
            <sz val="9"/>
            <color indexed="81"/>
            <rFont val="함초롬돋움"/>
            <family val="3"/>
            <charset val="129"/>
          </rPr>
          <t xml:space="preserve"> (거래대행사x)</t>
        </r>
      </text>
    </comment>
    <comment ref="G9" authorId="0" shapeId="0" xr:uid="{C1F496B7-D905-41E3-BA12-70ABD12E938A}">
      <text>
        <r>
          <rPr>
            <b/>
            <sz val="9"/>
            <color indexed="10"/>
            <rFont val="Tahoma"/>
            <family val="2"/>
          </rPr>
          <t>(</t>
        </r>
        <r>
          <rPr>
            <b/>
            <sz val="9"/>
            <color indexed="10"/>
            <rFont val="맑은 고딕"/>
            <family val="3"/>
            <charset val="129"/>
          </rPr>
          <t>필수</t>
        </r>
        <r>
          <rPr>
            <b/>
            <sz val="9"/>
            <color indexed="10"/>
            <rFont val="Tahoma"/>
            <family val="2"/>
          </rPr>
          <t>!)</t>
        </r>
        <r>
          <rPr>
            <b/>
            <sz val="9"/>
            <color indexed="10"/>
            <rFont val="맑은 고딕"/>
            <family val="3"/>
            <charset val="129"/>
          </rPr>
          <t>법인카드 사용자는 "법인카드온라인사용공지_202404024"파일 참고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8"/>
            <color indexed="81"/>
            <rFont val="돋움"/>
            <family val="3"/>
            <charset val="129"/>
          </rPr>
          <t>경로</t>
        </r>
        <r>
          <rPr>
            <b/>
            <sz val="8"/>
            <color indexed="81"/>
            <rFont val="Tahoma"/>
            <family val="2"/>
          </rPr>
          <t xml:space="preserve"> : Y:\0. </t>
        </r>
        <r>
          <rPr>
            <b/>
            <sz val="8"/>
            <color indexed="81"/>
            <rFont val="돋움"/>
            <family val="3"/>
            <charset val="129"/>
          </rPr>
          <t>공용자료</t>
        </r>
        <r>
          <rPr>
            <b/>
            <sz val="8"/>
            <color indexed="81"/>
            <rFont val="Tahoma"/>
            <family val="2"/>
          </rPr>
          <t>\</t>
        </r>
        <r>
          <rPr>
            <b/>
            <sz val="8"/>
            <color indexed="81"/>
            <rFont val="돋움"/>
            <family val="3"/>
            <charset val="129"/>
          </rPr>
          <t>청구양식</t>
        </r>
        <r>
          <rPr>
            <b/>
            <sz val="8"/>
            <color indexed="81"/>
            <rFont val="Tahoma"/>
            <family val="2"/>
          </rPr>
          <t>\</t>
        </r>
        <r>
          <rPr>
            <b/>
            <sz val="8"/>
            <color indexed="81"/>
            <rFont val="돋움"/>
            <family val="3"/>
            <charset val="129"/>
          </rPr>
          <t>비용</t>
        </r>
      </text>
    </comment>
    <comment ref="M9" authorId="0" shapeId="0" xr:uid="{78BE94C0-6500-4A3E-9D5C-33074ABB1220}">
      <text>
        <r>
          <rPr>
            <sz val="9"/>
            <color indexed="10"/>
            <rFont val="함초롬돋움"/>
            <family val="3"/>
            <charset val="129"/>
          </rPr>
          <t>*영수일과 실발생일이 다르면 비고에 실발생일 기재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도영</author>
  </authors>
  <commentList>
    <comment ref="B21" authorId="0" shapeId="0" xr:uid="{258DDA02-124C-49DD-8DE1-822E44FC75DC}">
      <text>
        <r>
          <rPr>
            <sz val="9"/>
            <color indexed="81"/>
            <rFont val="함초롬돋움"/>
            <family val="3"/>
            <charset val="129"/>
          </rPr>
          <t>청구서에는 "카드대금결제일" 기준(사용일x)으로 한줄로 작성하고 실제탑승내역은 후불교통비시트의 상세내역서에 작성</t>
        </r>
      </text>
    </comment>
    <comment ref="G26" authorId="0" shapeId="0" xr:uid="{2F96D533-690E-4A1D-BF3D-DB59CA406346}">
      <text>
        <r>
          <rPr>
            <b/>
            <sz val="9"/>
            <color indexed="81"/>
            <rFont val="Tahoma"/>
            <family val="2"/>
          </rPr>
          <t>*</t>
        </r>
        <r>
          <rPr>
            <b/>
            <sz val="9"/>
            <color indexed="81"/>
            <rFont val="돋움"/>
            <family val="3"/>
            <charset val="129"/>
          </rPr>
          <t>사전승인제외요건</t>
        </r>
        <r>
          <rPr>
            <b/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돋움"/>
            <family val="3"/>
            <charset val="129"/>
          </rPr>
          <t>모두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1. </t>
        </r>
        <r>
          <rPr>
            <sz val="9"/>
            <color indexed="81"/>
            <rFont val="돋움"/>
            <family val="3"/>
            <charset val="129"/>
          </rPr>
          <t>통근이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불가능한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것
</t>
        </r>
        <r>
          <rPr>
            <sz val="9"/>
            <color indexed="81"/>
            <rFont val="Tahoma"/>
            <family val="2"/>
          </rPr>
          <t>2. 2</t>
        </r>
        <r>
          <rPr>
            <sz val="9"/>
            <color indexed="81"/>
            <rFont val="돋움"/>
            <family val="3"/>
            <charset val="129"/>
          </rPr>
          <t>일이상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연속하여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외근지원할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것</t>
        </r>
      </text>
    </comment>
    <comment ref="G27" authorId="0" shapeId="0" xr:uid="{01128957-7D9D-4DEA-B6EE-FDE93327CDB4}">
      <text>
        <r>
          <rPr>
            <b/>
            <sz val="9"/>
            <color indexed="81"/>
            <rFont val="돋움"/>
            <family val="3"/>
            <charset val="129"/>
          </rPr>
          <t>최초</t>
        </r>
        <r>
          <rPr>
            <b/>
            <sz val="9"/>
            <color indexed="81"/>
            <rFont val="Tahoma"/>
            <family val="2"/>
          </rPr>
          <t xml:space="preserve"> 1</t>
        </r>
        <r>
          <rPr>
            <b/>
            <sz val="9"/>
            <color indexed="81"/>
            <rFont val="돋움"/>
            <family val="3"/>
            <charset val="129"/>
          </rPr>
          <t>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구두승인필요</t>
        </r>
      </text>
    </comment>
  </commentList>
</comments>
</file>

<file path=xl/sharedStrings.xml><?xml version="1.0" encoding="utf-8"?>
<sst xmlns="http://schemas.openxmlformats.org/spreadsheetml/2006/main" count="361" uniqueCount="259">
  <si>
    <t>순번</t>
    <phoneticPr fontId="2" type="noConversion"/>
  </si>
  <si>
    <t>거래처명</t>
    <phoneticPr fontId="2" type="noConversion"/>
  </si>
  <si>
    <t>목적</t>
    <phoneticPr fontId="2" type="noConversion"/>
  </si>
  <si>
    <t>결제방식</t>
    <phoneticPr fontId="2" type="noConversion"/>
  </si>
  <si>
    <t>영수금액</t>
    <phoneticPr fontId="2" type="noConversion"/>
  </si>
  <si>
    <t>청구금액</t>
    <phoneticPr fontId="2" type="noConversion"/>
  </si>
  <si>
    <t>지급금액</t>
    <phoneticPr fontId="2" type="noConversion"/>
  </si>
  <si>
    <t>시간</t>
    <phoneticPr fontId="2" type="noConversion"/>
  </si>
  <si>
    <t>지역</t>
    <phoneticPr fontId="2" type="noConversion"/>
  </si>
  <si>
    <t>참여자</t>
    <phoneticPr fontId="2" type="noConversion"/>
  </si>
  <si>
    <t>비고</t>
    <phoneticPr fontId="2" type="noConversion"/>
  </si>
  <si>
    <t>사유</t>
    <phoneticPr fontId="2" type="noConversion"/>
  </si>
  <si>
    <t>결재</t>
    <phoneticPr fontId="2" type="noConversion"/>
  </si>
  <si>
    <t>소속</t>
    <phoneticPr fontId="2" type="noConversion"/>
  </si>
  <si>
    <t>성명</t>
    <phoneticPr fontId="2" type="noConversion"/>
  </si>
  <si>
    <t>법인카드번호</t>
    <phoneticPr fontId="2" type="noConversion"/>
  </si>
  <si>
    <t>매크로검토</t>
    <phoneticPr fontId="2" type="noConversion"/>
  </si>
  <si>
    <t>야근식비</t>
    <phoneticPr fontId="2" type="noConversion"/>
  </si>
  <si>
    <t>작성일</t>
    <phoneticPr fontId="2" type="noConversion"/>
  </si>
  <si>
    <t>항목명</t>
    <phoneticPr fontId="2" type="noConversion"/>
  </si>
  <si>
    <t>경영지원팀 기재란</t>
    <phoneticPr fontId="2" type="noConversion"/>
  </si>
  <si>
    <t>영수일자</t>
    <phoneticPr fontId="2" type="noConversion"/>
  </si>
  <si>
    <t>외근지</t>
    <phoneticPr fontId="2" type="noConversion"/>
  </si>
  <si>
    <t>출발지</t>
    <phoneticPr fontId="2" type="noConversion"/>
  </si>
  <si>
    <t>목적지</t>
    <phoneticPr fontId="2" type="noConversion"/>
  </si>
  <si>
    <t>외근사유</t>
    <phoneticPr fontId="2" type="noConversion"/>
  </si>
  <si>
    <t>유류구분</t>
    <phoneticPr fontId="2" type="noConversion"/>
  </si>
  <si>
    <t>운행일자</t>
    <phoneticPr fontId="2" type="noConversion"/>
  </si>
  <si>
    <t>중외제약</t>
    <phoneticPr fontId="2" type="noConversion"/>
  </si>
  <si>
    <t>방문정기점검</t>
    <phoneticPr fontId="2" type="noConversion"/>
  </si>
  <si>
    <t>리오빌딩(서울강남)</t>
    <phoneticPr fontId="2" type="noConversion"/>
  </si>
  <si>
    <t>JW생명과학(충남당진)</t>
    <phoneticPr fontId="2" type="noConversion"/>
  </si>
  <si>
    <t>주행거리(km)</t>
    <phoneticPr fontId="2" type="noConversion"/>
  </si>
  <si>
    <t>유류비지원금액</t>
    <phoneticPr fontId="2" type="noConversion"/>
  </si>
  <si>
    <t>유류단가</t>
    <phoneticPr fontId="2" type="noConversion"/>
  </si>
  <si>
    <t>합계</t>
    <phoneticPr fontId="2" type="noConversion"/>
  </si>
  <si>
    <t>유류비 사용상세내역서</t>
    <phoneticPr fontId="2" type="noConversion"/>
  </si>
  <si>
    <t>후불교통비 사용내역서</t>
    <phoneticPr fontId="2" type="noConversion"/>
  </si>
  <si>
    <t>사용일자</t>
    <phoneticPr fontId="2" type="noConversion"/>
  </si>
  <si>
    <t>도착지</t>
    <phoneticPr fontId="2" type="noConversion"/>
  </si>
  <si>
    <t>강남역</t>
    <phoneticPr fontId="2" type="noConversion"/>
  </si>
  <si>
    <t>삼성역</t>
    <phoneticPr fontId="2" type="noConversion"/>
  </si>
  <si>
    <t>버스</t>
    <phoneticPr fontId="2" type="noConversion"/>
  </si>
  <si>
    <t>이용금액</t>
    <phoneticPr fontId="2" type="noConversion"/>
  </si>
  <si>
    <t>예</t>
    <phoneticPr fontId="2" type="noConversion"/>
  </si>
  <si>
    <t>야근교통비</t>
    <phoneticPr fontId="2" type="noConversion"/>
  </si>
  <si>
    <t>외근식비(조식)</t>
    <phoneticPr fontId="2" type="noConversion"/>
  </si>
  <si>
    <t>외근식비(중식)</t>
    <phoneticPr fontId="2" type="noConversion"/>
  </si>
  <si>
    <t>외근식비(석식)</t>
    <phoneticPr fontId="2" type="noConversion"/>
  </si>
  <si>
    <t>외근숙박비</t>
    <phoneticPr fontId="2" type="noConversion"/>
  </si>
  <si>
    <t>차량지원</t>
    <phoneticPr fontId="2" type="noConversion"/>
  </si>
  <si>
    <t>전화요금</t>
    <phoneticPr fontId="2" type="noConversion"/>
  </si>
  <si>
    <t>우편</t>
    <phoneticPr fontId="2" type="noConversion"/>
  </si>
  <si>
    <t>택배/퀵</t>
    <phoneticPr fontId="2" type="noConversion"/>
  </si>
  <si>
    <t>비품구매</t>
    <phoneticPr fontId="2" type="noConversion"/>
  </si>
  <si>
    <t>소모품구매</t>
    <phoneticPr fontId="2" type="noConversion"/>
  </si>
  <si>
    <t>취소수수료</t>
    <phoneticPr fontId="2" type="noConversion"/>
  </si>
  <si>
    <t>발급수수료</t>
    <phoneticPr fontId="2" type="noConversion"/>
  </si>
  <si>
    <t>수리비</t>
    <phoneticPr fontId="2" type="noConversion"/>
  </si>
  <si>
    <t>인쇄</t>
    <phoneticPr fontId="2" type="noConversion"/>
  </si>
  <si>
    <t>접대</t>
    <phoneticPr fontId="2" type="noConversion"/>
  </si>
  <si>
    <t>마케팅</t>
    <phoneticPr fontId="2" type="noConversion"/>
  </si>
  <si>
    <t>교육비</t>
    <phoneticPr fontId="2" type="noConversion"/>
  </si>
  <si>
    <t>기타식비</t>
    <phoneticPr fontId="2" type="noConversion"/>
  </si>
  <si>
    <t>기타교통비</t>
    <phoneticPr fontId="2" type="noConversion"/>
  </si>
  <si>
    <t>기타</t>
    <phoneticPr fontId="2" type="noConversion"/>
  </si>
  <si>
    <t>청구제외건</t>
    <phoneticPr fontId="2" type="noConversion"/>
  </si>
  <si>
    <t>시간, 지역, 참여자, 비고(초과근무시간)</t>
    <phoneticPr fontId="2" type="noConversion"/>
  </si>
  <si>
    <t>외근교통비(유류비)</t>
    <phoneticPr fontId="2" type="noConversion"/>
  </si>
  <si>
    <t>외근교통비(주차,통행료)</t>
    <phoneticPr fontId="2" type="noConversion"/>
  </si>
  <si>
    <t>시간, 참여자, 비고(외근지, 사유, 숙박일수)</t>
    <phoneticPr fontId="2" type="noConversion"/>
  </si>
  <si>
    <t>비고(사용기간)</t>
    <phoneticPr fontId="2" type="noConversion"/>
  </si>
  <si>
    <t>비고(발송처, 사유)</t>
    <phoneticPr fontId="2" type="noConversion"/>
  </si>
  <si>
    <t>추가로 작성해야할 항목안내</t>
    <phoneticPr fontId="2" type="noConversion"/>
  </si>
  <si>
    <t>비고(구매내역, 사유)</t>
    <phoneticPr fontId="2" type="noConversion"/>
  </si>
  <si>
    <t>참여자, 비고(취소사유)</t>
    <phoneticPr fontId="2" type="noConversion"/>
  </si>
  <si>
    <t>비고(발급서류명, 수량)</t>
    <phoneticPr fontId="2" type="noConversion"/>
  </si>
  <si>
    <t>비고(수리물품, 사유)</t>
    <phoneticPr fontId="2" type="noConversion"/>
  </si>
  <si>
    <t>비고(목적, 문서종류, 수량)</t>
    <phoneticPr fontId="2" type="noConversion"/>
  </si>
  <si>
    <t>시간, 참여자, 비고(거래처명, 사유)</t>
    <phoneticPr fontId="2" type="noConversion"/>
  </si>
  <si>
    <t>비고(구매내역)</t>
    <phoneticPr fontId="2" type="noConversion"/>
  </si>
  <si>
    <t>참여자, 비고(교육명)</t>
    <phoneticPr fontId="2" type="noConversion"/>
  </si>
  <si>
    <t>시간, 지역, 참여자, 비고(사유)</t>
    <phoneticPr fontId="2" type="noConversion"/>
  </si>
  <si>
    <t>참여자, 비고(사유)</t>
    <phoneticPr fontId="2" type="noConversion"/>
  </si>
  <si>
    <t>비고(사유)</t>
    <phoneticPr fontId="2" type="noConversion"/>
  </si>
  <si>
    <t>지원내역</t>
    <phoneticPr fontId="18" type="noConversion"/>
  </si>
  <si>
    <t>지원한도</t>
    <phoneticPr fontId="18" type="noConversion"/>
  </si>
  <si>
    <t>사전승인</t>
    <phoneticPr fontId="18" type="noConversion"/>
  </si>
  <si>
    <r>
      <t xml:space="preserve">야근(초과근무1시간이상)식비
*외근지야근 포함
</t>
    </r>
    <r>
      <rPr>
        <sz val="10"/>
        <color rgb="FFC00000"/>
        <rFont val="함초롬돋움"/>
        <family val="3"/>
        <charset val="129"/>
      </rPr>
      <t>*식사후 퇴근 시
초과근무시간은 식사시간을 제외한 시간으로 기재</t>
    </r>
    <phoneticPr fontId="20" type="noConversion"/>
  </si>
  <si>
    <t>-</t>
    <phoneticPr fontId="18" type="noConversion"/>
  </si>
  <si>
    <t>야근택시비
12시이후퇴근
(12시이전이라도 대중교통으로 귀가불가할 시 팀장승인되면지원)</t>
    <phoneticPr fontId="20" type="noConversion"/>
  </si>
  <si>
    <t>승인금액</t>
  </si>
  <si>
    <t>사전승인</t>
  </si>
  <si>
    <t>외근교통비(차량통행료,주차비)</t>
    <phoneticPr fontId="20" type="noConversion"/>
  </si>
  <si>
    <t>외근 시 숙박비용</t>
    <phoneticPr fontId="20" type="noConversion"/>
  </si>
  <si>
    <t>구두승인필요</t>
    <phoneticPr fontId="18" type="noConversion"/>
  </si>
  <si>
    <t>휴대전화요금
외근이 잦은경우 개별승인(영업, TAM 등)</t>
    <phoneticPr fontId="20" type="noConversion"/>
  </si>
  <si>
    <t>개인별상이</t>
  </si>
  <si>
    <t>구두승인필요</t>
  </si>
  <si>
    <t>우편발송(등기포함)</t>
    <phoneticPr fontId="20" type="noConversion"/>
  </si>
  <si>
    <t>택배발송(퀵서비스포함)</t>
    <phoneticPr fontId="20" type="noConversion"/>
  </si>
  <si>
    <t>비품구매</t>
    <phoneticPr fontId="20" type="noConversion"/>
  </si>
  <si>
    <t>소모품구매</t>
    <phoneticPr fontId="20" type="noConversion"/>
  </si>
  <si>
    <t>외근교통비취소수수료
발생 사유에 따라 지급</t>
    <phoneticPr fontId="20" type="noConversion"/>
  </si>
  <si>
    <t>본인과실 50%
그 외 100%</t>
    <phoneticPr fontId="18" type="noConversion"/>
  </si>
  <si>
    <t>서류발급수수료
(개인적x, 업무시 발생하는 수수료)</t>
    <phoneticPr fontId="20" type="noConversion"/>
  </si>
  <si>
    <t>수리비</t>
    <phoneticPr fontId="20" type="noConversion"/>
  </si>
  <si>
    <t>출력(인쇄), 제본 등</t>
    <phoneticPr fontId="20" type="noConversion"/>
  </si>
  <si>
    <t>거래처와식사</t>
    <phoneticPr fontId="20" type="noConversion"/>
  </si>
  <si>
    <t>전시회물품구매,렌탈</t>
    <phoneticPr fontId="20" type="noConversion"/>
  </si>
  <si>
    <t>교육비 등
교육안내자료 참고</t>
    <phoneticPr fontId="20" type="noConversion"/>
  </si>
  <si>
    <t>상기에 해당하지 않는 식대지원항목</t>
    <phoneticPr fontId="18" type="noConversion"/>
  </si>
  <si>
    <t>상기에 해당하지 않는 교통비지원항목</t>
    <phoneticPr fontId="18" type="noConversion"/>
  </si>
  <si>
    <t>상기에 없는 항목인 경우 회계담당자에 문의 후 처리</t>
    <phoneticPr fontId="18" type="noConversion"/>
  </si>
  <si>
    <t>목적</t>
    <phoneticPr fontId="18" type="noConversion"/>
  </si>
  <si>
    <t>추가기재항목</t>
    <phoneticPr fontId="18" type="noConversion"/>
  </si>
  <si>
    <t>법인카드사용 시 청구하지 않을 항목</t>
    <phoneticPr fontId="2" type="noConversion"/>
  </si>
  <si>
    <t>비용지원안내</t>
    <phoneticPr fontId="2" type="noConversion"/>
  </si>
  <si>
    <t>시간, 지역, 참여자</t>
    <phoneticPr fontId="2" type="noConversion"/>
  </si>
  <si>
    <t>주간스터디</t>
    <phoneticPr fontId="2" type="noConversion"/>
  </si>
  <si>
    <t>야간스터디</t>
    <phoneticPr fontId="2" type="noConversion"/>
  </si>
  <si>
    <t>스터디승인필요</t>
    <phoneticPr fontId="2" type="noConversion"/>
  </si>
  <si>
    <t>인사담당자문의</t>
    <phoneticPr fontId="2" type="noConversion"/>
  </si>
  <si>
    <t>스터디 1시간이상 시 음료비 지원</t>
    <phoneticPr fontId="2" type="noConversion"/>
  </si>
  <si>
    <t>18시이후 스터디 1시간이상 시 식사 및 음료비 지원
*주간스터디와 중복 지원 불가</t>
    <phoneticPr fontId="2" type="noConversion"/>
  </si>
  <si>
    <t>시간, 지역, 참여자, 비고(N주차, 스터디집중시간)</t>
    <phoneticPr fontId="2" type="noConversion"/>
  </si>
  <si>
    <t>*비용청구 시 참고</t>
    <phoneticPr fontId="2" type="noConversion"/>
  </si>
  <si>
    <t>- 청구서 뒷면에 영수증을 부착할 때에는 왼쪽 상단(1번항목)부터 아래 방향으로 부착합니다.</t>
    <phoneticPr fontId="2" type="noConversion"/>
  </si>
  <si>
    <t>본인확인</t>
    <phoneticPr fontId="2" type="noConversion"/>
  </si>
  <si>
    <t>신청자정보</t>
    <phoneticPr fontId="2" type="noConversion"/>
  </si>
  <si>
    <t>팀장</t>
    <phoneticPr fontId="20" type="noConversion"/>
  </si>
  <si>
    <t>CFO</t>
    <phoneticPr fontId="20" type="noConversion"/>
  </si>
  <si>
    <t>대표이사</t>
    <phoneticPr fontId="20" type="noConversion"/>
  </si>
  <si>
    <t>경영지원팀</t>
    <phoneticPr fontId="20" type="noConversion"/>
  </si>
  <si>
    <t>청구요약정보</t>
    <phoneticPr fontId="2" type="noConversion"/>
  </si>
  <si>
    <t>전표확인</t>
    <phoneticPr fontId="2" type="noConversion"/>
  </si>
  <si>
    <t>담당</t>
    <phoneticPr fontId="20" type="noConversion"/>
  </si>
  <si>
    <t>영수금액 합계</t>
    <phoneticPr fontId="2" type="noConversion"/>
  </si>
  <si>
    <t>청구금액 합계</t>
    <phoneticPr fontId="2" type="noConversion"/>
  </si>
  <si>
    <t>지급금액 합계</t>
    <phoneticPr fontId="2" type="noConversion"/>
  </si>
  <si>
    <t>개인형법인카드분</t>
    <phoneticPr fontId="2" type="noConversion"/>
  </si>
  <si>
    <t>YYYY-MM-DD</t>
    <phoneticPr fontId="2" type="noConversion"/>
  </si>
  <si>
    <t>텍스트형식</t>
    <phoneticPr fontId="2" type="noConversion"/>
  </si>
  <si>
    <t>숫자형식</t>
    <phoneticPr fontId="2" type="noConversion"/>
  </si>
  <si>
    <t>목록에서선택</t>
    <phoneticPr fontId="2" type="noConversion"/>
  </si>
  <si>
    <t>HH:MM</t>
    <phoneticPr fontId="2" type="noConversion"/>
  </si>
  <si>
    <t>시군구단위까지 기재</t>
    <phoneticPr fontId="2" type="noConversion"/>
  </si>
  <si>
    <t>직함(팀장,연구원 등)은 제외하고 이름만 기재. 이름은 콤마(,)로 구분하고 공백없도록 작성</t>
    <phoneticPr fontId="2" type="noConversion"/>
  </si>
  <si>
    <t>야근식비</t>
  </si>
  <si>
    <t>역삼</t>
    <phoneticPr fontId="2" type="noConversion"/>
  </si>
  <si>
    <t>청구목적에 따른 추가작성항목이 표시됩니다.
해당되는 항목을 우측에 기재하여 주세요</t>
    <phoneticPr fontId="2" type="noConversion"/>
  </si>
  <si>
    <t>초과근무 1시간</t>
    <phoneticPr fontId="2" type="noConversion"/>
  </si>
  <si>
    <t>버튼조작부</t>
    <phoneticPr fontId="2" type="noConversion"/>
  </si>
  <si>
    <t>교통비</t>
    <phoneticPr fontId="2" type="noConversion"/>
  </si>
  <si>
    <t>여비</t>
    <phoneticPr fontId="2" type="noConversion"/>
  </si>
  <si>
    <t>통신</t>
    <phoneticPr fontId="2" type="noConversion"/>
  </si>
  <si>
    <t>택배</t>
    <phoneticPr fontId="2" type="noConversion"/>
  </si>
  <si>
    <t>수수료</t>
    <phoneticPr fontId="2" type="noConversion"/>
  </si>
  <si>
    <t>광고</t>
    <phoneticPr fontId="2" type="noConversion"/>
  </si>
  <si>
    <t>물품구매</t>
    <phoneticPr fontId="2" type="noConversion"/>
  </si>
  <si>
    <t>구분</t>
    <phoneticPr fontId="18" type="noConversion"/>
  </si>
  <si>
    <t>식대</t>
    <phoneticPr fontId="2" type="noConversion"/>
  </si>
  <si>
    <t>비고작성예시</t>
    <phoneticPr fontId="2" type="noConversion"/>
  </si>
  <si>
    <t>-</t>
    <phoneticPr fontId="2" type="noConversion"/>
  </si>
  <si>
    <t>4주차, 집중시간 2시간(18:00~20:00)</t>
    <phoneticPr fontId="2" type="noConversion"/>
  </si>
  <si>
    <t>00으로인해 식비발생함</t>
    <phoneticPr fontId="2" type="noConversion"/>
  </si>
  <si>
    <t>리노공업, 커스터마이징관련회의, 숙박2일</t>
    <phoneticPr fontId="2" type="noConversion"/>
  </si>
  <si>
    <t>2021.05.01~2021.05.31</t>
    <phoneticPr fontId="2" type="noConversion"/>
  </si>
  <si>
    <t>주식회사 00산업, 브로셔발송</t>
    <phoneticPr fontId="2" type="noConversion"/>
  </si>
  <si>
    <t>사무용가위구매, 기존에 사용하던 가위파손</t>
    <phoneticPr fontId="2" type="noConversion"/>
  </si>
  <si>
    <t>00으로 인해 기차예매취소함</t>
    <phoneticPr fontId="2" type="noConversion"/>
  </si>
  <si>
    <t>00서류발급, 2부</t>
    <phoneticPr fontId="2" type="noConversion"/>
  </si>
  <si>
    <t>의자수리, 노후로 손잡이 파손됨</t>
    <phoneticPr fontId="2" type="noConversion"/>
  </si>
  <si>
    <t>00세미나자료. 제품소개ppt. 20부</t>
    <phoneticPr fontId="2" type="noConversion"/>
  </si>
  <si>
    <t>00주식회사, 00프로젝트관련미팅으로거래처와식사</t>
    <phoneticPr fontId="2" type="noConversion"/>
  </si>
  <si>
    <t>거치대 렌탈 2일</t>
    <phoneticPr fontId="2" type="noConversion"/>
  </si>
  <si>
    <t>24시간안에 끝내는 머신러닝 기초</t>
    <phoneticPr fontId="2" type="noConversion"/>
  </si>
  <si>
    <t>발생사유기재</t>
    <phoneticPr fontId="2" type="noConversion"/>
  </si>
  <si>
    <t>제외사유기재</t>
    <phoneticPr fontId="2" type="noConversion"/>
  </si>
  <si>
    <t>청구 서포터</t>
    <phoneticPr fontId="2" type="noConversion"/>
  </si>
  <si>
    <t>거래처명
(메모참고)</t>
    <phoneticPr fontId="2" type="noConversion"/>
  </si>
  <si>
    <t>SKT, 유지보수계약체결, 시내버스
(역삼 -&gt; 분당)</t>
    <phoneticPr fontId="2" type="noConversion"/>
  </si>
  <si>
    <t>외근교통비(대중교통)
기차,택시,시내외버스,지하철,항공료 등</t>
    <phoneticPr fontId="20" type="noConversion"/>
  </si>
  <si>
    <t>00으로 인해 택시이용
(수서-&gt;용인)</t>
    <phoneticPr fontId="2" type="noConversion"/>
  </si>
  <si>
    <t>청구목적에 따른 비고작성예시가 표시됩니다.
참고하여 비고란에 기재하세요</t>
    <phoneticPr fontId="2" type="noConversion"/>
  </si>
  <si>
    <t>교통비상세시트의 유류비상세내역서</t>
    <phoneticPr fontId="2" type="noConversion"/>
  </si>
  <si>
    <t>시간, 참여자, 비고(사유)
유류비는 교통비상세시트의 유류비상세내역서 작성
후불교통비는 교통비상세시트의 후불교통비사용내역서 작성</t>
    <phoneticPr fontId="2" type="noConversion"/>
  </si>
  <si>
    <t>자동산출</t>
    <phoneticPr fontId="2" type="noConversion"/>
  </si>
  <si>
    <t>*작성시트의 영수금액에는 주유비영수증내용을 기재하고 청구금액에는 아래내역의 합계금액을 작성합니다.</t>
    <phoneticPr fontId="2" type="noConversion"/>
  </si>
  <si>
    <t>*후불교통카드를 사용한 경우에만 작성합니다. (대중교통이용요금이 각각 영수증처리되지않고 일정기간별로 사후에 일괄청구되는 경우)</t>
    <phoneticPr fontId="2" type="noConversion"/>
  </si>
  <si>
    <t>요일</t>
    <phoneticPr fontId="2" type="noConversion"/>
  </si>
  <si>
    <t>이용수단</t>
    <phoneticPr fontId="2" type="noConversion"/>
  </si>
  <si>
    <t>LPG</t>
    <phoneticPr fontId="2" type="noConversion"/>
  </si>
  <si>
    <t>코엑스</t>
    <phoneticPr fontId="2" type="noConversion"/>
  </si>
  <si>
    <t>전시회</t>
    <phoneticPr fontId="2" type="noConversion"/>
  </si>
  <si>
    <t>데이터입력형식</t>
    <phoneticPr fontId="2" type="noConversion"/>
  </si>
  <si>
    <t>구   분</t>
    <phoneticPr fontId="2" type="noConversion"/>
  </si>
  <si>
    <t>*팀장(승인권자)분들은 청구서 및 교통비상세시트에 부적절한 청구내역이 있는지 검토한 후 승인하여 주시기 바랍니다.</t>
    <phoneticPr fontId="2" type="noConversion"/>
  </si>
  <si>
    <t>예   시</t>
    <phoneticPr fontId="2" type="noConversion"/>
  </si>
  <si>
    <t>1.개인카드</t>
  </si>
  <si>
    <t>비용청구서</t>
    <phoneticPr fontId="2" type="noConversion"/>
  </si>
  <si>
    <t>특근식비(조식)</t>
    <phoneticPr fontId="2" type="noConversion"/>
  </si>
  <si>
    <t>특근식비(중식)</t>
    <phoneticPr fontId="2" type="noConversion"/>
  </si>
  <si>
    <t>특근식비(석식)</t>
    <phoneticPr fontId="2" type="noConversion"/>
  </si>
  <si>
    <t>시간, 지역, 참여자, 비고(근무지,특근사유)</t>
    <phoneticPr fontId="2" type="noConversion"/>
  </si>
  <si>
    <t>넷아이디, A고객사 클라이언트업데이트진행</t>
    <phoneticPr fontId="2" type="noConversion"/>
  </si>
  <si>
    <r>
      <t xml:space="preserve">주말근무식비
</t>
    </r>
    <r>
      <rPr>
        <sz val="10"/>
        <color rgb="FFC00000"/>
        <rFont val="함초롬돋움"/>
        <family val="3"/>
        <charset val="129"/>
      </rPr>
      <t xml:space="preserve">*재택근무제외
</t>
    </r>
    <r>
      <rPr>
        <sz val="10"/>
        <color theme="1"/>
        <rFont val="함초롬돋움"/>
        <family val="3"/>
        <charset val="129"/>
      </rPr>
      <t>근무시간에 식사시간이 포함될 경우 식대지원
(그 외는 필요에 따라 팀장재량으로 승인)</t>
    </r>
    <phoneticPr fontId="2" type="noConversion"/>
  </si>
  <si>
    <t/>
  </si>
  <si>
    <t>삼성엔지니어링(경기수원), 방문정기점검</t>
    <phoneticPr fontId="2" type="noConversion"/>
  </si>
  <si>
    <t>교통비상세시트 기재완료</t>
    <phoneticPr fontId="2" type="noConversion"/>
  </si>
  <si>
    <t>의료</t>
    <phoneticPr fontId="2" type="noConversion"/>
  </si>
  <si>
    <t>건강검진</t>
    <phoneticPr fontId="2" type="noConversion"/>
  </si>
  <si>
    <t>한도내금액</t>
    <phoneticPr fontId="2" type="noConversion"/>
  </si>
  <si>
    <t>건강검진비용지원.
근속연수에 따른 지원금액 및 범위참고(공용자료실)</t>
    <phoneticPr fontId="2" type="noConversion"/>
  </si>
  <si>
    <t>파견식비(조식)</t>
    <phoneticPr fontId="2" type="noConversion"/>
  </si>
  <si>
    <t>파견식비(석식)</t>
    <phoneticPr fontId="2" type="noConversion"/>
  </si>
  <si>
    <t>넷아이디, A고객사(부산) 신규도입프로젝트 진행</t>
    <phoneticPr fontId="2" type="noConversion"/>
  </si>
  <si>
    <t>외근 시 식비
*외근지에서 식사한 금액 실비변상
-조식 : 정규출근시간 이전 근무 시 or 출퇴근거리 2시간 이상 or 1박이상 시 지원 (9시 이전식사)
-중식 : 기본제공O (단,내근 후에 점심 식사하고 외근 나가는 경우 지원하지 않음.)
-석식 : 야근 1시간 이상 시 or 출퇴근거리 2시간 이상 or 1박이상 시 지원
(18시 이후식사)</t>
    <phoneticPr fontId="20" type="noConversion"/>
  </si>
  <si>
    <t>파견식비(중식.현지숙박)</t>
    <phoneticPr fontId="2" type="noConversion"/>
  </si>
  <si>
    <t>파견식비(중식.자택출퇴근)</t>
    <phoneticPr fontId="2" type="noConversion"/>
  </si>
  <si>
    <t>시간, 지역, 참여자, 비고(외근지 및 지역, 외근사유)</t>
    <phoneticPr fontId="2" type="noConversion"/>
  </si>
  <si>
    <t>시간, 지역, 참여자, 비고(근무지, 파견사유)</t>
    <phoneticPr fontId="2" type="noConversion"/>
  </si>
  <si>
    <t>시간, 지역, 참여자, 비고(근무지 및 지역, 파견사유)</t>
    <phoneticPr fontId="2" type="noConversion"/>
  </si>
  <si>
    <t>영수시간</t>
    <phoneticPr fontId="2" type="noConversion"/>
  </si>
  <si>
    <t>도서구매</t>
    <phoneticPr fontId="2" type="noConversion"/>
  </si>
  <si>
    <t>참여자, 비고(도서명)</t>
    <phoneticPr fontId="2" type="noConversion"/>
  </si>
  <si>
    <t>직무와 연관된 도서 구매비용
교육안내자료 참고</t>
    <phoneticPr fontId="20" type="noConversion"/>
  </si>
  <si>
    <t>사전승인</t>
    <phoneticPr fontId="2" type="noConversion"/>
  </si>
  <si>
    <t>서브웨이 역삼점</t>
    <phoneticPr fontId="2" type="noConversion"/>
  </si>
  <si>
    <r>
      <rPr>
        <b/>
        <u/>
        <sz val="11"/>
        <color theme="1"/>
        <rFont val="함초롬돋움"/>
        <family val="3"/>
        <charset val="129"/>
      </rPr>
      <t>필수작성항목</t>
    </r>
    <r>
      <rPr>
        <b/>
        <sz val="10"/>
        <color theme="1"/>
        <rFont val="함초롬돋움"/>
        <family val="3"/>
        <charset val="129"/>
      </rPr>
      <t xml:space="preserve">
</t>
    </r>
    <r>
      <rPr>
        <b/>
        <sz val="9"/>
        <color rgb="FF0000FF"/>
        <rFont val="함초롬돋움"/>
        <family val="3"/>
        <charset val="129"/>
      </rPr>
      <t>*한 줄에는 하나의 영수증만 작성하세요 (합산기재금지)</t>
    </r>
    <phoneticPr fontId="2" type="noConversion"/>
  </si>
  <si>
    <r>
      <rPr>
        <b/>
        <u/>
        <sz val="11"/>
        <color theme="1"/>
        <rFont val="함초롬돋움"/>
        <family val="3"/>
        <charset val="129"/>
      </rPr>
      <t>추가작성항목</t>
    </r>
    <r>
      <rPr>
        <b/>
        <sz val="10"/>
        <color theme="1"/>
        <rFont val="함초롬돋움"/>
        <family val="3"/>
        <charset val="129"/>
      </rPr>
      <t xml:space="preserve">
</t>
    </r>
    <r>
      <rPr>
        <b/>
        <sz val="8"/>
        <color rgb="FF0000FF"/>
        <rFont val="함초롬돋움"/>
        <family val="3"/>
        <charset val="129"/>
      </rPr>
      <t>*승인받지 않고 제출하는 비용(팀비,복지비 등)은 필수항목만 작성하되
팀비는 비고에 'A팀 팀비'라고 기재하여 주세요</t>
    </r>
    <phoneticPr fontId="2" type="noConversion"/>
  </si>
  <si>
    <t>결제방식
(메모참고)</t>
    <phoneticPr fontId="2" type="noConversion"/>
  </si>
  <si>
    <t>홍길동,김영희,이철수</t>
    <phoneticPr fontId="2" type="noConversion"/>
  </si>
  <si>
    <t>초과근무 2시간</t>
    <phoneticPr fontId="2" type="noConversion"/>
  </si>
  <si>
    <t>교통비상세시트의 후불교통비사용내역서</t>
    <phoneticPr fontId="2" type="noConversion"/>
  </si>
  <si>
    <t>외근교통비(대중교통_후불)</t>
    <phoneticPr fontId="2" type="noConversion"/>
  </si>
  <si>
    <t>외근교통비(대중교통_선불)</t>
    <phoneticPr fontId="2" type="noConversion"/>
  </si>
  <si>
    <t>시간, 참여자, 비고(외근지,사유,이동수단,출발지,도착지)</t>
    <phoneticPr fontId="2" type="noConversion"/>
  </si>
  <si>
    <t>시간, 비고(외근지,외근사유), 상세항목</t>
    <phoneticPr fontId="2" type="noConversion"/>
  </si>
  <si>
    <t>SKT, 유지보수계약체결, 주차요금</t>
    <phoneticPr fontId="2" type="noConversion"/>
  </si>
  <si>
    <t>시간, 참여자, 비고(야근사유,이동수단,출발지,도착지)</t>
    <phoneticPr fontId="2" type="noConversion"/>
  </si>
  <si>
    <t>00고객사 장애로 인한 고객지원, 택시
(역삼-&gt;잠실)</t>
    <phoneticPr fontId="2" type="noConversion"/>
  </si>
  <si>
    <t>워크샵, 전시회물품이동 차량지원
(=리오빌딩주차비, 통행료, 유류비(거리비례) 등)</t>
    <phoneticPr fontId="20" type="noConversion"/>
  </si>
  <si>
    <t>11,000원
(1인,1회기준)</t>
    <phoneticPr fontId="18" type="noConversion"/>
  </si>
  <si>
    <t>2025.09 변경항목</t>
    <phoneticPr fontId="2" type="noConversion"/>
  </si>
  <si>
    <t>5,500 ~11,000원
(1인,1회기준)</t>
    <phoneticPr fontId="2" type="noConversion"/>
  </si>
  <si>
    <t>11,000원
(1인,1회기준)</t>
    <phoneticPr fontId="2" type="noConversion"/>
  </si>
  <si>
    <t>1인 5,500원/일
(주2회)</t>
    <phoneticPr fontId="2" type="noConversion"/>
  </si>
  <si>
    <t>1인 15,400원/일
(주2회)</t>
    <phoneticPr fontId="2" type="noConversion"/>
  </si>
  <si>
    <r>
      <t>파견근무 시 식비
*파견지에서 식사한 금액 실비변상
-조식 : 정규출근시간 이전 근무 시 지원 (9시 이전 식사)
-중식 : 기본제공O (단, 지원금액 상이)
(</t>
    </r>
    <r>
      <rPr>
        <sz val="10"/>
        <color rgb="FFC00000"/>
        <rFont val="함초롬돋움"/>
        <family val="3"/>
        <charset val="129"/>
      </rPr>
      <t>자택에서 출퇴근하는 경우 : 5.5천원</t>
    </r>
    <r>
      <rPr>
        <sz val="10"/>
        <color theme="1"/>
        <rFont val="함초롬돋움"/>
        <family val="3"/>
        <charset val="129"/>
      </rPr>
      <t xml:space="preserve">
현지 숙박시설에서 출퇴근하는 경우 : 1.1만원)
-석식 : 야근 1시간 이상 시 지원 (18시 이후 식사)</t>
    </r>
    <phoneticPr fontId="2" type="noConversion"/>
  </si>
  <si>
    <t>휘발유,경유:5.8km
LPG:4.8km</t>
    <phoneticPr fontId="2" type="noConversion"/>
  </si>
  <si>
    <t>외근교통비(자차유류비) =&gt;오피넷(opinet.co.kr)기준 발생일 평균단가
휘발유.경유(적용연비:5.8km/L)  청구금액 = 실주행거리 / 5.8 * 유류단가
LPG(적용연비:4.8km/L)  청구금액 = 실주행거리 / 4.8 * 충전단가
*적용연비에는 차량 감가상각비 및 각종 소모품(엔진오일 등)비용이 반영됨</t>
    <phoneticPr fontId="20" type="noConversion"/>
  </si>
  <si>
    <t>2025.12.01 이후
리터당 적용연비</t>
    <phoneticPr fontId="2" type="noConversion"/>
  </si>
  <si>
    <t>청구내역작성란 (2026년도 영수증 내역)</t>
    <phoneticPr fontId="2" type="noConversion"/>
  </si>
  <si>
    <t>인공지능개발팀</t>
    <phoneticPr fontId="2" type="noConversion"/>
  </si>
  <si>
    <t>확인요망</t>
    <phoneticPr fontId="2" type="noConversion"/>
  </si>
  <si>
    <t>필요</t>
    <phoneticPr fontId="2" type="noConversion"/>
  </si>
  <si>
    <t>아래 청구내역란을 작성한 후 매크로검토버튼을 클릭하세요</t>
    <phoneticPr fontId="2" type="noConversion"/>
  </si>
  <si>
    <t>ㅎ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</si>
</sst>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_-* #,##0_-;\-* #,##0_-;_-* &quot;-&quot;_-;_-@_-"/>
    <numFmt numFmtId="177" formatCode="0.00_);[Red]\(0.00\)"/>
    <numFmt numFmtId="178" formatCode="yyyy/mm/dd\(aaa\)"/>
    <numFmt numFmtId="179" formatCode="#&quot;km&quot;"/>
    <numFmt numFmtId="180" formatCode="0&quot;건&quot;"/>
    <numFmt numFmtId="181" formatCode="h:mm;@"/>
  </numFmts>
  <fonts count="4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b/>
      <sz val="14"/>
      <color theme="1"/>
      <name val="함초롬돋움"/>
      <family val="3"/>
      <charset val="129"/>
    </font>
    <font>
      <b/>
      <sz val="10"/>
      <color rgb="FFC00000"/>
      <name val="함초롬돋움"/>
      <family val="3"/>
      <charset val="129"/>
    </font>
    <font>
      <b/>
      <sz val="10"/>
      <color rgb="FF0000FF"/>
      <name val="함초롬돋움"/>
      <family val="3"/>
      <charset val="129"/>
    </font>
    <font>
      <sz val="10"/>
      <color theme="0" tint="-0.499984740745262"/>
      <name val="함초롬돋움"/>
      <family val="3"/>
      <charset val="129"/>
    </font>
    <font>
      <sz val="10"/>
      <name val="함초롬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theme="1"/>
      <name val="함초롬돋움"/>
      <family val="3"/>
      <charset val="129"/>
    </font>
    <font>
      <sz val="9"/>
      <color theme="1"/>
      <name val="함초롬돋움"/>
      <family val="3"/>
      <charset val="129"/>
    </font>
    <font>
      <b/>
      <sz val="9"/>
      <color indexed="81"/>
      <name val="함초롬돋움"/>
      <family val="3"/>
      <charset val="129"/>
    </font>
    <font>
      <sz val="9"/>
      <color indexed="81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8"/>
      <name val="맑은 고딕"/>
      <family val="3"/>
      <charset val="129"/>
      <scheme val="minor"/>
    </font>
    <font>
      <sz val="10"/>
      <color rgb="FFC00000"/>
      <name val="함초롬돋움"/>
      <family val="3"/>
      <charset val="129"/>
    </font>
    <font>
      <sz val="8"/>
      <name val="맑은 고딕"/>
      <family val="3"/>
      <charset val="129"/>
    </font>
    <font>
      <sz val="9"/>
      <color indexed="81"/>
      <name val="돋움"/>
      <family val="3"/>
      <charset val="129"/>
    </font>
    <font>
      <sz val="9"/>
      <color indexed="10"/>
      <name val="함초롬돋움"/>
      <family val="3"/>
      <charset val="129"/>
    </font>
    <font>
      <sz val="10"/>
      <color rgb="FF0000FF"/>
      <name val="함초롬돋움"/>
      <family val="3"/>
      <charset val="129"/>
    </font>
    <font>
      <sz val="8"/>
      <color rgb="FF0000FF"/>
      <name val="함초롬돋움"/>
      <family val="3"/>
      <charset val="129"/>
    </font>
    <font>
      <sz val="11"/>
      <color rgb="FFFF0000"/>
      <name val="함초롬돋움"/>
      <family val="3"/>
      <charset val="129"/>
    </font>
    <font>
      <sz val="9"/>
      <color rgb="FFFF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z val="26"/>
      <color theme="1"/>
      <name val="함초롬돋움"/>
      <family val="3"/>
      <charset val="129"/>
    </font>
    <font>
      <b/>
      <sz val="11"/>
      <color theme="1"/>
      <name val="함초롬돋움"/>
      <family val="3"/>
      <charset val="129"/>
    </font>
    <font>
      <b/>
      <sz val="10"/>
      <color theme="1" tint="0.34998626667073579"/>
      <name val="함초롬돋움"/>
      <family val="3"/>
      <charset val="129"/>
    </font>
    <font>
      <sz val="9"/>
      <color theme="1" tint="0.34998626667073579"/>
      <name val="함초롬돋움"/>
      <family val="3"/>
      <charset val="129"/>
    </font>
    <font>
      <b/>
      <sz val="9"/>
      <color theme="1" tint="0.34998626667073579"/>
      <name val="함초롬돋움"/>
      <family val="3"/>
      <charset val="129"/>
    </font>
    <font>
      <sz val="11"/>
      <color theme="1" tint="0.34998626667073579"/>
      <name val="함초롬돋움"/>
      <family val="3"/>
      <charset val="129"/>
    </font>
    <font>
      <b/>
      <sz val="9"/>
      <color rgb="FF0000FF"/>
      <name val="함초롬돋움"/>
      <family val="3"/>
      <charset val="129"/>
    </font>
    <font>
      <b/>
      <sz val="8"/>
      <color rgb="FF0000FF"/>
      <name val="함초롬돋움"/>
      <family val="3"/>
      <charset val="129"/>
    </font>
    <font>
      <b/>
      <u/>
      <sz val="11"/>
      <color theme="1"/>
      <name val="함초롬돋움"/>
      <family val="3"/>
      <charset val="129"/>
    </font>
    <font>
      <b/>
      <sz val="11"/>
      <color rgb="FFFF0000"/>
      <name val="함초롬돋움"/>
      <family val="3"/>
      <charset val="129"/>
    </font>
    <font>
      <b/>
      <sz val="12"/>
      <color theme="1"/>
      <name val="맑은 고딕"/>
      <family val="2"/>
      <charset val="129"/>
      <scheme val="minor"/>
    </font>
    <font>
      <b/>
      <sz val="12"/>
      <color theme="1"/>
      <name val="함초롬돋움"/>
      <family val="3"/>
      <charset val="129"/>
    </font>
    <font>
      <sz val="11"/>
      <name val="함초롬돋움"/>
      <family val="3"/>
      <charset val="129"/>
    </font>
    <font>
      <b/>
      <sz val="10"/>
      <name val="함초롬돋움"/>
      <family val="3"/>
      <charset val="129"/>
    </font>
    <font>
      <b/>
      <sz val="8"/>
      <color theme="1" tint="0.14999847407452621"/>
      <name val="함초롬돋움"/>
      <family val="3"/>
      <charset val="129"/>
    </font>
    <font>
      <b/>
      <sz val="9"/>
      <color indexed="10"/>
      <name val="맑은 고딕"/>
      <family val="3"/>
      <charset val="129"/>
    </font>
    <font>
      <b/>
      <sz val="8"/>
      <color indexed="81"/>
      <name val="돋움"/>
      <family val="3"/>
      <charset val="129"/>
    </font>
    <font>
      <b/>
      <sz val="8"/>
      <color indexed="81"/>
      <name val="Tahoma"/>
      <family val="2"/>
    </font>
    <font>
      <b/>
      <sz val="9"/>
      <color indexed="10"/>
      <name val="Tahoma"/>
      <family val="2"/>
    </font>
    <font>
      <b/>
      <sz val="8"/>
      <color rgb="FFFF0000"/>
      <name val="함초롬돋움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209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5" xfId="0" applyFont="1" applyBorder="1">
      <alignment vertical="center"/>
    </xf>
    <xf numFmtId="0" fontId="3" fillId="0" borderId="1" xfId="0" applyFont="1" applyBorder="1">
      <alignment vertical="center"/>
    </xf>
    <xf numFmtId="0" fontId="3" fillId="0" borderId="1" xfId="0" applyFont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/>
    </xf>
    <xf numFmtId="0" fontId="17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vertical="center" wrapText="1"/>
    </xf>
    <xf numFmtId="0" fontId="17" fillId="0" borderId="1" xfId="0" applyFont="1" applyBorder="1" applyAlignment="1">
      <alignment vertical="center" wrapText="1"/>
    </xf>
    <xf numFmtId="176" fontId="8" fillId="0" borderId="1" xfId="1" applyFont="1" applyBorder="1" applyAlignment="1" applyProtection="1">
      <alignment horizontal="right" vertical="center" wrapText="1"/>
    </xf>
    <xf numFmtId="0" fontId="9" fillId="0" borderId="1" xfId="0" applyFont="1" applyBorder="1" applyAlignment="1" applyProtection="1">
      <alignment horizontal="center" vertical="center" wrapText="1"/>
      <protection locked="0"/>
    </xf>
    <xf numFmtId="176" fontId="9" fillId="0" borderId="1" xfId="1" applyFont="1" applyBorder="1" applyAlignment="1" applyProtection="1">
      <alignment horizontal="right" vertical="center" wrapText="1"/>
      <protection locked="0"/>
    </xf>
    <xf numFmtId="177" fontId="9" fillId="0" borderId="1" xfId="0" applyNumberFormat="1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>
      <alignment horizontal="center" vertical="center"/>
    </xf>
    <xf numFmtId="181" fontId="3" fillId="0" borderId="0" xfId="0" applyNumberFormat="1" applyFont="1">
      <alignment vertical="center"/>
    </xf>
    <xf numFmtId="0" fontId="27" fillId="0" borderId="0" xfId="0" applyFont="1">
      <alignment vertical="center"/>
    </xf>
    <xf numFmtId="0" fontId="4" fillId="0" borderId="9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" fillId="0" borderId="11" xfId="0" applyFont="1" applyBorder="1" applyAlignment="1">
      <alignment horizontal="right" vertical="center"/>
    </xf>
    <xf numFmtId="0" fontId="3" fillId="0" borderId="13" xfId="0" applyFont="1" applyBorder="1" applyAlignment="1">
      <alignment horizontal="right" vertical="center"/>
    </xf>
    <xf numFmtId="0" fontId="27" fillId="0" borderId="13" xfId="0" applyFont="1" applyBorder="1">
      <alignment vertical="center"/>
    </xf>
    <xf numFmtId="0" fontId="3" fillId="0" borderId="12" xfId="0" applyFont="1" applyBorder="1" applyAlignment="1">
      <alignment horizontal="right" vertical="center"/>
    </xf>
    <xf numFmtId="0" fontId="3" fillId="0" borderId="14" xfId="0" applyFont="1" applyBorder="1" applyAlignment="1">
      <alignment horizontal="right" vertical="center"/>
    </xf>
    <xf numFmtId="176" fontId="27" fillId="0" borderId="14" xfId="1" applyFont="1" applyBorder="1">
      <alignment vertical="center"/>
    </xf>
    <xf numFmtId="0" fontId="3" fillId="0" borderId="15" xfId="0" applyFont="1" applyBorder="1" applyAlignment="1">
      <alignment horizontal="right" vertical="center"/>
    </xf>
    <xf numFmtId="0" fontId="27" fillId="0" borderId="15" xfId="0" applyFont="1" applyBorder="1">
      <alignment vertical="center"/>
    </xf>
    <xf numFmtId="0" fontId="7" fillId="0" borderId="0" xfId="0" applyFont="1" applyAlignment="1">
      <alignment horizontal="center" vertical="center"/>
    </xf>
    <xf numFmtId="0" fontId="3" fillId="10" borderId="5" xfId="0" quotePrefix="1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8" fillId="0" borderId="0" xfId="0" applyFont="1">
      <alignment vertical="center"/>
    </xf>
    <xf numFmtId="0" fontId="39" fillId="0" borderId="1" xfId="0" applyFont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center" vertical="center"/>
    </xf>
    <xf numFmtId="0" fontId="3" fillId="12" borderId="17" xfId="0" applyFont="1" applyFill="1" applyBorder="1" applyAlignment="1">
      <alignment horizontal="center" vertical="center"/>
    </xf>
    <xf numFmtId="176" fontId="14" fillId="7" borderId="1" xfId="1" applyFont="1" applyFill="1" applyBorder="1" applyAlignment="1" applyProtection="1">
      <alignment horizontal="center" vertical="center" wrapText="1"/>
    </xf>
    <xf numFmtId="176" fontId="4" fillId="10" borderId="1" xfId="1" applyFont="1" applyFill="1" applyBorder="1" applyProtection="1">
      <alignment vertical="center"/>
    </xf>
    <xf numFmtId="176" fontId="8" fillId="4" borderId="1" xfId="1" applyFont="1" applyFill="1" applyBorder="1" applyAlignment="1" applyProtection="1">
      <alignment horizontal="right" vertical="center" wrapText="1"/>
    </xf>
    <xf numFmtId="14" fontId="9" fillId="0" borderId="1" xfId="0" applyNumberFormat="1" applyFont="1" applyBorder="1" applyAlignment="1" applyProtection="1">
      <alignment horizontal="center" vertical="center" wrapText="1"/>
      <protection locked="0"/>
    </xf>
    <xf numFmtId="0" fontId="25" fillId="0" borderId="0" xfId="0" applyFont="1">
      <alignment vertical="center"/>
    </xf>
    <xf numFmtId="0" fontId="17" fillId="0" borderId="0" xfId="0" applyFont="1">
      <alignment vertical="center"/>
    </xf>
    <xf numFmtId="0" fontId="3" fillId="14" borderId="11" xfId="0" applyFont="1" applyFill="1" applyBorder="1" applyAlignment="1">
      <alignment horizontal="right" vertical="center"/>
    </xf>
    <xf numFmtId="176" fontId="27" fillId="14" borderId="11" xfId="1" applyFont="1" applyFill="1" applyBorder="1">
      <alignment vertical="center"/>
    </xf>
    <xf numFmtId="0" fontId="3" fillId="5" borderId="13" xfId="0" applyFont="1" applyFill="1" applyBorder="1" applyAlignment="1">
      <alignment horizontal="right" vertical="center"/>
    </xf>
    <xf numFmtId="176" fontId="27" fillId="5" borderId="13" xfId="1" applyFont="1" applyFill="1" applyBorder="1">
      <alignment vertical="center"/>
    </xf>
    <xf numFmtId="0" fontId="3" fillId="4" borderId="12" xfId="0" applyFont="1" applyFill="1" applyBorder="1" applyAlignment="1">
      <alignment horizontal="right" vertical="center"/>
    </xf>
    <xf numFmtId="176" fontId="27" fillId="4" borderId="12" xfId="1" applyFont="1" applyFill="1" applyBorder="1">
      <alignment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/>
    </xf>
    <xf numFmtId="0" fontId="3" fillId="0" borderId="0" xfId="0" quotePrefix="1" applyFont="1">
      <alignment vertical="center"/>
    </xf>
    <xf numFmtId="49" fontId="27" fillId="0" borderId="12" xfId="0" applyNumberFormat="1" applyFont="1" applyBorder="1">
      <alignment vertical="center"/>
    </xf>
    <xf numFmtId="0" fontId="27" fillId="0" borderId="1" xfId="0" applyFont="1" applyBorder="1" applyAlignment="1">
      <alignment horizontal="center" vertical="center"/>
    </xf>
    <xf numFmtId="0" fontId="27" fillId="0" borderId="1" xfId="0" applyFont="1" applyBorder="1" applyAlignment="1">
      <alignment horizontal="centerContinuous" vertical="center"/>
    </xf>
    <xf numFmtId="0" fontId="27" fillId="0" borderId="8" xfId="0" applyFont="1" applyBorder="1" applyAlignment="1">
      <alignment horizontal="center" vertical="center"/>
    </xf>
    <xf numFmtId="0" fontId="27" fillId="6" borderId="8" xfId="0" applyFont="1" applyFill="1" applyBorder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178" fontId="40" fillId="0" borderId="11" xfId="0" applyNumberFormat="1" applyFont="1" applyBorder="1" applyAlignment="1">
      <alignment horizontal="center" vertical="center" wrapText="1"/>
    </xf>
    <xf numFmtId="0" fontId="27" fillId="0" borderId="11" xfId="0" applyFont="1" applyBorder="1" applyAlignment="1">
      <alignment horizontal="center" vertical="center" wrapText="1"/>
    </xf>
    <xf numFmtId="0" fontId="27" fillId="0" borderId="38" xfId="0" applyFont="1" applyBorder="1" applyAlignment="1">
      <alignment horizontal="centerContinuous" vertical="center" wrapText="1"/>
    </xf>
    <xf numFmtId="0" fontId="27" fillId="0" borderId="39" xfId="0" applyFont="1" applyBorder="1" applyAlignment="1">
      <alignment horizontal="centerContinuous" vertical="center" wrapText="1"/>
    </xf>
    <xf numFmtId="0" fontId="27" fillId="0" borderId="40" xfId="0" applyFont="1" applyBorder="1" applyAlignment="1">
      <alignment horizontal="centerContinuous" vertical="center" wrapText="1"/>
    </xf>
    <xf numFmtId="176" fontId="27" fillId="0" borderId="11" xfId="1" applyFont="1" applyBorder="1" applyAlignment="1" applyProtection="1">
      <alignment horizontal="right" vertical="center" wrapText="1"/>
    </xf>
    <xf numFmtId="20" fontId="27" fillId="0" borderId="9" xfId="0" applyNumberFormat="1" applyFont="1" applyBorder="1" applyAlignment="1">
      <alignment horizontal="center" vertical="center" wrapText="1"/>
    </xf>
    <xf numFmtId="0" fontId="27" fillId="0" borderId="9" xfId="0" applyFont="1" applyBorder="1" applyAlignment="1">
      <alignment horizontal="center" vertical="center" wrapText="1"/>
    </xf>
    <xf numFmtId="0" fontId="0" fillId="0" borderId="9" xfId="0" applyBorder="1">
      <alignment vertical="center"/>
    </xf>
    <xf numFmtId="0" fontId="27" fillId="0" borderId="9" xfId="0" applyFont="1" applyBorder="1">
      <alignment vertical="center"/>
    </xf>
    <xf numFmtId="0" fontId="27" fillId="0" borderId="13" xfId="0" applyFont="1" applyBorder="1" applyAlignment="1">
      <alignment horizontal="center" vertical="center"/>
    </xf>
    <xf numFmtId="178" fontId="40" fillId="0" borderId="13" xfId="0" applyNumberFormat="1" applyFont="1" applyBorder="1" applyAlignment="1">
      <alignment horizontal="center" vertical="center" wrapText="1"/>
    </xf>
    <xf numFmtId="0" fontId="27" fillId="0" borderId="13" xfId="0" applyFont="1" applyBorder="1" applyAlignment="1">
      <alignment horizontal="center" vertical="center" wrapText="1"/>
    </xf>
    <xf numFmtId="0" fontId="27" fillId="0" borderId="34" xfId="0" applyFont="1" applyBorder="1" applyAlignment="1">
      <alignment horizontal="centerContinuous" vertical="center" wrapText="1"/>
    </xf>
    <xf numFmtId="0" fontId="27" fillId="0" borderId="35" xfId="0" applyFont="1" applyBorder="1" applyAlignment="1">
      <alignment horizontal="centerContinuous" vertical="center" wrapText="1"/>
    </xf>
    <xf numFmtId="0" fontId="27" fillId="0" borderId="36" xfId="0" applyFont="1" applyBorder="1" applyAlignment="1">
      <alignment horizontal="centerContinuous" vertical="center" wrapText="1"/>
    </xf>
    <xf numFmtId="176" fontId="27" fillId="0" borderId="13" xfId="1" applyFont="1" applyBorder="1" applyAlignment="1" applyProtection="1">
      <alignment horizontal="right" vertical="center" wrapText="1"/>
    </xf>
    <xf numFmtId="0" fontId="27" fillId="0" borderId="12" xfId="0" applyFont="1" applyBorder="1" applyAlignment="1">
      <alignment horizontal="center" vertical="center"/>
    </xf>
    <xf numFmtId="178" fontId="40" fillId="0" borderId="12" xfId="0" applyNumberFormat="1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0" fontId="27" fillId="0" borderId="41" xfId="0" applyFont="1" applyBorder="1" applyAlignment="1">
      <alignment horizontal="centerContinuous" vertical="center" wrapText="1"/>
    </xf>
    <xf numFmtId="0" fontId="27" fillId="0" borderId="42" xfId="0" applyFont="1" applyBorder="1" applyAlignment="1">
      <alignment horizontal="centerContinuous" vertical="center" wrapText="1"/>
    </xf>
    <xf numFmtId="0" fontId="27" fillId="0" borderId="43" xfId="0" applyFont="1" applyBorder="1" applyAlignment="1">
      <alignment horizontal="centerContinuous" vertical="center" wrapText="1"/>
    </xf>
    <xf numFmtId="176" fontId="27" fillId="0" borderId="12" xfId="1" applyFont="1" applyBorder="1" applyAlignment="1" applyProtection="1">
      <alignment horizontal="right" vertical="center" wrapText="1"/>
    </xf>
    <xf numFmtId="14" fontId="27" fillId="0" borderId="11" xfId="0" applyNumberFormat="1" applyFont="1" applyBorder="1" applyAlignment="1">
      <alignment horizontal="left" vertical="center"/>
    </xf>
    <xf numFmtId="176" fontId="14" fillId="0" borderId="1" xfId="1" applyFont="1" applyFill="1" applyBorder="1" applyAlignment="1" applyProtection="1">
      <alignment horizontal="right" vertical="center" wrapText="1"/>
    </xf>
    <xf numFmtId="176" fontId="31" fillId="7" borderId="1" xfId="1" applyFont="1" applyFill="1" applyBorder="1" applyAlignment="1" applyProtection="1">
      <alignment horizontal="left" vertical="center" wrapText="1"/>
    </xf>
    <xf numFmtId="176" fontId="31" fillId="7" borderId="1" xfId="1" applyFont="1" applyFill="1" applyBorder="1" applyAlignment="1" applyProtection="1">
      <alignment horizontal="center" vertical="center" wrapText="1"/>
    </xf>
    <xf numFmtId="49" fontId="42" fillId="0" borderId="9" xfId="1" applyNumberFormat="1" applyFont="1" applyFill="1" applyBorder="1" applyAlignment="1" applyProtection="1">
      <alignment horizontal="center" vertical="center" wrapText="1"/>
    </xf>
    <xf numFmtId="49" fontId="47" fillId="7" borderId="9" xfId="1" applyNumberFormat="1" applyFont="1" applyFill="1" applyBorder="1" applyAlignment="1" applyProtection="1">
      <alignment horizontal="center" vertical="center" wrapText="1"/>
    </xf>
    <xf numFmtId="49" fontId="47" fillId="7" borderId="1" xfId="1" applyNumberFormat="1" applyFont="1" applyFill="1" applyBorder="1" applyAlignment="1" applyProtection="1">
      <alignment horizontal="center" vertical="center" wrapText="1"/>
    </xf>
    <xf numFmtId="0" fontId="3" fillId="10" borderId="1" xfId="0" applyFont="1" applyFill="1" applyBorder="1" applyAlignment="1">
      <alignment horizontal="center" vertical="center"/>
    </xf>
    <xf numFmtId="178" fontId="8" fillId="4" borderId="1" xfId="0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vertical="center" wrapText="1"/>
    </xf>
    <xf numFmtId="0" fontId="3" fillId="4" borderId="0" xfId="0" applyFont="1" applyFill="1" applyAlignment="1">
      <alignment horizontal="center" vertical="center"/>
    </xf>
    <xf numFmtId="179" fontId="23" fillId="0" borderId="0" xfId="0" applyNumberFormat="1" applyFont="1" applyAlignment="1">
      <alignment horizontal="right" vertical="center" wrapText="1"/>
    </xf>
    <xf numFmtId="0" fontId="4" fillId="4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177" fontId="4" fillId="10" borderId="1" xfId="0" applyNumberFormat="1" applyFont="1" applyFill="1" applyBorder="1">
      <alignment vertical="center"/>
    </xf>
    <xf numFmtId="180" fontId="4" fillId="10" borderId="1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14" fontId="8" fillId="0" borderId="1" xfId="0" applyNumberFormat="1" applyFont="1" applyBorder="1" applyAlignment="1">
      <alignment horizontal="center" vertical="center" wrapText="1"/>
    </xf>
    <xf numFmtId="177" fontId="8" fillId="0" borderId="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14" fontId="14" fillId="0" borderId="1" xfId="0" applyNumberFormat="1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176" fontId="14" fillId="0" borderId="1" xfId="1" applyFont="1" applyFill="1" applyBorder="1" applyAlignment="1" applyProtection="1">
      <alignment horizontal="right" vertical="center" wrapText="1"/>
      <protection locked="0"/>
    </xf>
    <xf numFmtId="20" fontId="14" fillId="0" borderId="1" xfId="0" applyNumberFormat="1" applyFont="1" applyBorder="1" applyAlignment="1" applyProtection="1">
      <alignment horizontal="center" vertical="center" wrapText="1"/>
      <protection locked="0"/>
    </xf>
    <xf numFmtId="0" fontId="2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6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7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 wrapText="1"/>
    </xf>
    <xf numFmtId="0" fontId="27" fillId="0" borderId="2" xfId="0" applyFont="1" applyBorder="1" applyAlignment="1">
      <alignment horizontal="center" vertical="center"/>
    </xf>
    <xf numFmtId="0" fontId="29" fillId="3" borderId="3" xfId="0" applyFont="1" applyFill="1" applyBorder="1" applyAlignment="1">
      <alignment horizontal="right" vertical="center"/>
    </xf>
    <xf numFmtId="0" fontId="29" fillId="3" borderId="4" xfId="0" applyFont="1" applyFill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 wrapText="1"/>
    </xf>
    <xf numFmtId="0" fontId="39" fillId="0" borderId="17" xfId="0" applyFont="1" applyBorder="1" applyAlignment="1">
      <alignment horizontal="center" vertical="center"/>
    </xf>
    <xf numFmtId="0" fontId="39" fillId="0" borderId="9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center" vertical="center" wrapText="1"/>
    </xf>
    <xf numFmtId="0" fontId="39" fillId="0" borderId="21" xfId="0" applyFont="1" applyBorder="1" applyAlignment="1">
      <alignment horizontal="center" vertical="center"/>
    </xf>
    <xf numFmtId="0" fontId="3" fillId="0" borderId="17" xfId="0" applyFont="1" applyBorder="1" applyAlignment="1">
      <alignment horizontal="left" vertical="center" wrapText="1"/>
    </xf>
    <xf numFmtId="0" fontId="3" fillId="0" borderId="21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17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4" fillId="3" borderId="24" xfId="0" applyFont="1" applyFill="1" applyBorder="1" applyAlignment="1" applyProtection="1">
      <alignment horizontal="center" vertical="center" textRotation="255"/>
    </xf>
    <xf numFmtId="0" fontId="4" fillId="3" borderId="25" xfId="0" applyFont="1" applyFill="1" applyBorder="1" applyAlignment="1" applyProtection="1">
      <alignment horizontal="center" vertical="center" textRotation="255"/>
    </xf>
    <xf numFmtId="0" fontId="29" fillId="12" borderId="24" xfId="0" applyFont="1" applyFill="1" applyBorder="1" applyAlignment="1" applyProtection="1">
      <alignment horizontal="center" vertical="center"/>
    </xf>
    <xf numFmtId="0" fontId="29" fillId="12" borderId="25" xfId="0" applyFont="1" applyFill="1" applyBorder="1" applyAlignment="1" applyProtection="1">
      <alignment horizontal="center" vertical="center"/>
    </xf>
    <xf numFmtId="0" fontId="27" fillId="0" borderId="0" xfId="0" applyFont="1" applyProtection="1">
      <alignment vertical="center"/>
    </xf>
    <xf numFmtId="0" fontId="4" fillId="3" borderId="22" xfId="0" applyFont="1" applyFill="1" applyBorder="1" applyAlignment="1" applyProtection="1">
      <alignment horizontal="center" vertical="center" textRotation="255"/>
    </xf>
    <xf numFmtId="0" fontId="4" fillId="3" borderId="26" xfId="0" applyFont="1" applyFill="1" applyBorder="1" applyAlignment="1" applyProtection="1">
      <alignment horizontal="center" vertical="center" textRotation="255"/>
    </xf>
    <xf numFmtId="0" fontId="29" fillId="12" borderId="23" xfId="0" applyFont="1" applyFill="1" applyBorder="1" applyAlignment="1" applyProtection="1">
      <alignment horizontal="center" vertical="center"/>
    </xf>
    <xf numFmtId="0" fontId="29" fillId="12" borderId="27" xfId="0" applyFont="1" applyFill="1" applyBorder="1" applyAlignment="1" applyProtection="1">
      <alignment horizontal="center" vertical="center"/>
    </xf>
    <xf numFmtId="0" fontId="37" fillId="12" borderId="24" xfId="0" applyFont="1" applyFill="1" applyBorder="1" applyAlignment="1" applyProtection="1">
      <alignment horizontal="center" vertical="center" wrapText="1"/>
    </xf>
    <xf numFmtId="0" fontId="37" fillId="12" borderId="25" xfId="0" applyFont="1" applyFill="1" applyBorder="1" applyAlignment="1" applyProtection="1">
      <alignment horizontal="center" vertical="center" wrapText="1"/>
    </xf>
    <xf numFmtId="0" fontId="37" fillId="12" borderId="22" xfId="0" applyFont="1" applyFill="1" applyBorder="1" applyAlignment="1" applyProtection="1">
      <alignment horizontal="center" vertical="center" wrapText="1"/>
    </xf>
    <xf numFmtId="0" fontId="37" fillId="12" borderId="26" xfId="0" applyFont="1" applyFill="1" applyBorder="1" applyAlignment="1" applyProtection="1">
      <alignment horizontal="center" vertical="center" wrapText="1"/>
    </xf>
    <xf numFmtId="0" fontId="27" fillId="0" borderId="0" xfId="0" applyFont="1" applyAlignment="1" applyProtection="1">
      <alignment horizontal="center" vertical="center"/>
    </xf>
    <xf numFmtId="0" fontId="4" fillId="3" borderId="31" xfId="0" applyFont="1" applyFill="1" applyBorder="1" applyAlignment="1" applyProtection="1">
      <alignment horizontal="center" vertical="center" textRotation="255"/>
    </xf>
    <xf numFmtId="0" fontId="4" fillId="3" borderId="32" xfId="0" applyFont="1" applyFill="1" applyBorder="1" applyAlignment="1" applyProtection="1">
      <alignment horizontal="center" vertical="center" textRotation="255"/>
    </xf>
    <xf numFmtId="0" fontId="37" fillId="12" borderId="31" xfId="0" applyFont="1" applyFill="1" applyBorder="1" applyAlignment="1" applyProtection="1">
      <alignment horizontal="center" vertical="center" wrapText="1"/>
    </xf>
    <xf numFmtId="0" fontId="37" fillId="12" borderId="32" xfId="0" applyFont="1" applyFill="1" applyBorder="1" applyAlignment="1" applyProtection="1">
      <alignment horizontal="center" vertical="center" wrapText="1"/>
    </xf>
    <xf numFmtId="0" fontId="27" fillId="0" borderId="33" xfId="0" applyFont="1" applyBorder="1" applyAlignment="1" applyProtection="1">
      <alignment horizontal="center" vertical="center"/>
    </xf>
    <xf numFmtId="0" fontId="27" fillId="0" borderId="33" xfId="0" applyFont="1" applyBorder="1" applyAlignment="1" applyProtection="1">
      <alignment horizontal="center" vertical="center"/>
    </xf>
    <xf numFmtId="0" fontId="27" fillId="0" borderId="33" xfId="0" applyFont="1" applyBorder="1" applyProtection="1">
      <alignment vertical="center"/>
    </xf>
    <xf numFmtId="0" fontId="27" fillId="0" borderId="16" xfId="0" applyFont="1" applyBorder="1" applyProtection="1">
      <alignment vertical="center"/>
    </xf>
    <xf numFmtId="0" fontId="29" fillId="0" borderId="37" xfId="0" applyFont="1" applyBorder="1" applyAlignment="1" applyProtection="1">
      <alignment vertical="center" textRotation="255"/>
    </xf>
    <xf numFmtId="0" fontId="27" fillId="0" borderId="16" xfId="0" applyFont="1" applyBorder="1" applyAlignment="1" applyProtection="1">
      <alignment horizontal="center" vertical="center"/>
    </xf>
    <xf numFmtId="0" fontId="4" fillId="3" borderId="28" xfId="0" applyFont="1" applyFill="1" applyBorder="1" applyAlignment="1" applyProtection="1">
      <alignment horizontal="center" vertical="center"/>
    </xf>
    <xf numFmtId="0" fontId="4" fillId="3" borderId="44" xfId="0" applyFont="1" applyFill="1" applyBorder="1" applyAlignment="1" applyProtection="1">
      <alignment horizontal="center" vertical="center"/>
    </xf>
    <xf numFmtId="0" fontId="4" fillId="7" borderId="18" xfId="0" applyFont="1" applyFill="1" applyBorder="1" applyAlignment="1" applyProtection="1">
      <alignment horizontal="center" vertical="center" wrapText="1"/>
    </xf>
    <xf numFmtId="0" fontId="4" fillId="7" borderId="20" xfId="0" applyFont="1" applyFill="1" applyBorder="1" applyAlignment="1" applyProtection="1">
      <alignment horizontal="center" vertical="center" wrapText="1"/>
    </xf>
    <xf numFmtId="0" fontId="4" fillId="7" borderId="19" xfId="0" applyFont="1" applyFill="1" applyBorder="1" applyAlignment="1" applyProtection="1">
      <alignment horizontal="center" vertical="center" wrapText="1"/>
    </xf>
    <xf numFmtId="0" fontId="4" fillId="11" borderId="18" xfId="0" applyFont="1" applyFill="1" applyBorder="1" applyAlignment="1" applyProtection="1">
      <alignment horizontal="center" vertical="center" wrapText="1"/>
    </xf>
    <xf numFmtId="0" fontId="4" fillId="11" borderId="20" xfId="0" applyFont="1" applyFill="1" applyBorder="1" applyAlignment="1" applyProtection="1">
      <alignment horizontal="center" vertical="center" wrapText="1"/>
    </xf>
    <xf numFmtId="0" fontId="4" fillId="11" borderId="19" xfId="0" applyFont="1" applyFill="1" applyBorder="1" applyAlignment="1" applyProtection="1">
      <alignment horizontal="center" vertical="center" wrapText="1"/>
    </xf>
    <xf numFmtId="0" fontId="3" fillId="0" borderId="0" xfId="0" applyFont="1" applyProtection="1">
      <alignment vertical="center"/>
    </xf>
    <xf numFmtId="0" fontId="4" fillId="3" borderId="29" xfId="0" applyFont="1" applyFill="1" applyBorder="1" applyAlignment="1" applyProtection="1">
      <alignment horizontal="center" vertical="center"/>
    </xf>
    <xf numFmtId="0" fontId="4" fillId="3" borderId="45" xfId="0" applyFont="1" applyFill="1" applyBorder="1" applyAlignment="1" applyProtection="1">
      <alignment horizontal="center" vertical="center"/>
    </xf>
    <xf numFmtId="0" fontId="32" fillId="7" borderId="46" xfId="0" applyFont="1" applyFill="1" applyBorder="1" applyAlignment="1" applyProtection="1">
      <alignment horizontal="center" vertical="center"/>
    </xf>
    <xf numFmtId="0" fontId="32" fillId="7" borderId="47" xfId="0" applyFont="1" applyFill="1" applyBorder="1" applyAlignment="1" applyProtection="1">
      <alignment horizontal="center" vertical="center" wrapText="1"/>
    </xf>
    <xf numFmtId="0" fontId="32" fillId="7" borderId="47" xfId="0" applyFont="1" applyFill="1" applyBorder="1" applyAlignment="1" applyProtection="1">
      <alignment horizontal="center" vertical="center"/>
    </xf>
    <xf numFmtId="0" fontId="32" fillId="7" borderId="48" xfId="0" applyFont="1" applyFill="1" applyBorder="1" applyAlignment="1" applyProtection="1">
      <alignment horizontal="center" vertical="center"/>
    </xf>
    <xf numFmtId="0" fontId="32" fillId="7" borderId="49" xfId="0" applyFont="1" applyFill="1" applyBorder="1" applyAlignment="1" applyProtection="1">
      <alignment horizontal="center" vertical="center"/>
    </xf>
    <xf numFmtId="0" fontId="32" fillId="11" borderId="47" xfId="0" applyFont="1" applyFill="1" applyBorder="1" applyAlignment="1" applyProtection="1">
      <alignment horizontal="center" vertical="center"/>
    </xf>
    <xf numFmtId="0" fontId="32" fillId="11" borderId="48" xfId="0" applyFont="1" applyFill="1" applyBorder="1" applyAlignment="1" applyProtection="1">
      <alignment horizontal="center" vertical="center"/>
    </xf>
    <xf numFmtId="0" fontId="32" fillId="7" borderId="7" xfId="0" applyFont="1" applyFill="1" applyBorder="1" applyAlignment="1" applyProtection="1">
      <alignment horizontal="center" vertical="center"/>
    </xf>
    <xf numFmtId="0" fontId="30" fillId="0" borderId="0" xfId="0" applyFont="1" applyAlignment="1" applyProtection="1">
      <alignment horizontal="center" vertical="center"/>
    </xf>
    <xf numFmtId="0" fontId="41" fillId="3" borderId="30" xfId="0" applyFont="1" applyFill="1" applyBorder="1" applyAlignment="1" applyProtection="1">
      <alignment horizontal="center" vertical="center" wrapText="1"/>
    </xf>
    <xf numFmtId="0" fontId="41" fillId="3" borderId="3" xfId="0" applyFont="1" applyFill="1" applyBorder="1" applyAlignment="1" applyProtection="1">
      <alignment horizontal="center" vertical="center" wrapText="1"/>
    </xf>
    <xf numFmtId="49" fontId="42" fillId="0" borderId="9" xfId="0" applyNumberFormat="1" applyFont="1" applyBorder="1" applyAlignment="1" applyProtection="1">
      <alignment horizontal="center" vertical="center" wrapText="1"/>
    </xf>
    <xf numFmtId="0" fontId="33" fillId="0" borderId="0" xfId="0" applyFont="1" applyProtection="1">
      <alignment vertical="center"/>
    </xf>
    <xf numFmtId="0" fontId="9" fillId="3" borderId="1" xfId="0" applyFont="1" applyFill="1" applyBorder="1" applyAlignment="1" applyProtection="1">
      <alignment horizontal="center" vertical="center" wrapText="1"/>
    </xf>
    <xf numFmtId="14" fontId="14" fillId="0" borderId="1" xfId="0" applyNumberFormat="1" applyFont="1" applyBorder="1" applyAlignment="1" applyProtection="1">
      <alignment horizontal="center" vertical="center" wrapText="1"/>
    </xf>
    <xf numFmtId="0" fontId="14" fillId="0" borderId="1" xfId="0" applyFont="1" applyBorder="1" applyAlignment="1" applyProtection="1">
      <alignment horizontal="center" vertical="center" wrapText="1"/>
    </xf>
    <xf numFmtId="20" fontId="14" fillId="0" borderId="1" xfId="0" applyNumberFormat="1" applyFont="1" applyBorder="1" applyAlignment="1" applyProtection="1">
      <alignment horizontal="center" vertical="center" wrapText="1"/>
    </xf>
    <xf numFmtId="0" fontId="33" fillId="0" borderId="16" xfId="0" applyFont="1" applyBorder="1" applyProtection="1">
      <alignment vertical="center"/>
    </xf>
    <xf numFmtId="0" fontId="24" fillId="0" borderId="0" xfId="0" applyFont="1" applyProtection="1">
      <alignment vertical="center"/>
    </xf>
    <xf numFmtId="0" fontId="4" fillId="0" borderId="0" xfId="0" applyFont="1" applyAlignment="1" applyProtection="1">
      <alignment vertical="center" textRotation="255"/>
    </xf>
    <xf numFmtId="0" fontId="4" fillId="10" borderId="18" xfId="0" applyFont="1" applyFill="1" applyBorder="1" applyAlignment="1" applyProtection="1">
      <alignment horizontal="center" vertical="center"/>
    </xf>
    <xf numFmtId="0" fontId="4" fillId="10" borderId="20" xfId="0" applyFont="1" applyFill="1" applyBorder="1" applyAlignment="1" applyProtection="1">
      <alignment horizontal="center" vertical="center"/>
    </xf>
    <xf numFmtId="0" fontId="4" fillId="10" borderId="19" xfId="0" applyFont="1" applyFill="1" applyBorder="1" applyAlignment="1" applyProtection="1">
      <alignment horizontal="center" vertical="center"/>
    </xf>
    <xf numFmtId="0" fontId="23" fillId="0" borderId="0" xfId="0" applyFont="1" applyAlignment="1" applyProtection="1"/>
    <xf numFmtId="0" fontId="7" fillId="0" borderId="0" xfId="0" applyFont="1" applyAlignment="1" applyProtection="1">
      <alignment horizontal="center" vertical="center"/>
    </xf>
    <xf numFmtId="0" fontId="26" fillId="0" borderId="0" xfId="0" applyFont="1" applyAlignment="1" applyProtection="1">
      <alignment horizontal="left"/>
    </xf>
    <xf numFmtId="0" fontId="13" fillId="3" borderId="9" xfId="0" applyFont="1" applyFill="1" applyBorder="1" applyAlignment="1" applyProtection="1">
      <alignment horizontal="center" vertical="center"/>
    </xf>
    <xf numFmtId="0" fontId="13" fillId="3" borderId="3" xfId="0" applyFont="1" applyFill="1" applyBorder="1" applyAlignment="1" applyProtection="1">
      <alignment horizontal="center" vertical="center"/>
    </xf>
    <xf numFmtId="0" fontId="13" fillId="7" borderId="7" xfId="0" applyFont="1" applyFill="1" applyBorder="1" applyAlignment="1" applyProtection="1">
      <alignment horizontal="center" vertical="center"/>
    </xf>
    <xf numFmtId="0" fontId="13" fillId="3" borderId="1" xfId="0" applyFont="1" applyFill="1" applyBorder="1" applyAlignment="1" applyProtection="1">
      <alignment horizontal="center" vertical="center"/>
    </xf>
    <xf numFmtId="0" fontId="13" fillId="3" borderId="1" xfId="0" applyFont="1" applyFill="1" applyBorder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center"/>
    </xf>
    <xf numFmtId="0" fontId="14" fillId="0" borderId="1" xfId="0" applyFont="1" applyBorder="1" applyAlignment="1" applyProtection="1">
      <alignment horizontal="center" vertical="center"/>
    </xf>
    <xf numFmtId="49" fontId="27" fillId="0" borderId="0" xfId="0" applyNumberFormat="1" applyFont="1" applyProtection="1">
      <alignment vertical="center"/>
    </xf>
  </cellXfs>
  <cellStyles count="2">
    <cellStyle name="쉼표 [0]" xfId="1" builtinId="6"/>
    <cellStyle name="표준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  <color rgb="FF99CCFF"/>
      <color rgb="FFFFCCCC"/>
      <color rgb="FF85D4BE"/>
      <color rgb="FFFFFF99"/>
      <color rgb="FFFFCC99"/>
      <color rgb="FFCCCCFF"/>
      <color rgb="FFCCFF66"/>
      <color rgb="FFCC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svg"/><Relationship Id="rId13" Type="http://schemas.openxmlformats.org/officeDocument/2006/relationships/image" Target="../media/image15.png"/><Relationship Id="rId18" Type="http://schemas.openxmlformats.org/officeDocument/2006/relationships/image" Target="../media/image20.svg"/><Relationship Id="rId3" Type="http://schemas.openxmlformats.org/officeDocument/2006/relationships/image" Target="../media/image5.png"/><Relationship Id="rId21" Type="http://schemas.openxmlformats.org/officeDocument/2006/relationships/image" Target="../media/image23.png"/><Relationship Id="rId7" Type="http://schemas.openxmlformats.org/officeDocument/2006/relationships/image" Target="../media/image9.png"/><Relationship Id="rId12" Type="http://schemas.openxmlformats.org/officeDocument/2006/relationships/image" Target="../media/image14.sv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svg"/><Relationship Id="rId20" Type="http://schemas.openxmlformats.org/officeDocument/2006/relationships/image" Target="../media/image22.svg"/><Relationship Id="rId1" Type="http://schemas.openxmlformats.org/officeDocument/2006/relationships/hyperlink" Target="https://wisebiz.bccard.com/app/corp/Intro.corp" TargetMode="External"/><Relationship Id="rId6" Type="http://schemas.openxmlformats.org/officeDocument/2006/relationships/image" Target="../media/image8.sv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10" Type="http://schemas.openxmlformats.org/officeDocument/2006/relationships/image" Target="../media/image12.svg"/><Relationship Id="rId19" Type="http://schemas.openxmlformats.org/officeDocument/2006/relationships/image" Target="../media/image21.png"/><Relationship Id="rId4" Type="http://schemas.openxmlformats.org/officeDocument/2006/relationships/image" Target="../media/image6.svg"/><Relationship Id="rId9" Type="http://schemas.openxmlformats.org/officeDocument/2006/relationships/image" Target="../media/image11.png"/><Relationship Id="rId14" Type="http://schemas.openxmlformats.org/officeDocument/2006/relationships/image" Target="../media/image16.svg"/><Relationship Id="rId22" Type="http://schemas.openxmlformats.org/officeDocument/2006/relationships/image" Target="../media/image24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hyperlink" Target="https://wisebiz.bccard.com/app/corp/Intro.corp" TargetMode="Externa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0</xdr:row>
      <xdr:rowOff>200024</xdr:rowOff>
    </xdr:from>
    <xdr:to>
      <xdr:col>12</xdr:col>
      <xdr:colOff>514350</xdr:colOff>
      <xdr:row>30</xdr:row>
      <xdr:rowOff>152400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86EE161-4653-4CB6-ABA3-DCE4FCD3DF09}"/>
            </a:ext>
          </a:extLst>
        </xdr:cNvPr>
        <xdr:cNvSpPr/>
      </xdr:nvSpPr>
      <xdr:spPr>
        <a:xfrm>
          <a:off x="209549" y="200024"/>
          <a:ext cx="8534401" cy="6238876"/>
        </a:xfrm>
        <a:prstGeom prst="rect">
          <a:avLst/>
        </a:prstGeom>
        <a:solidFill>
          <a:sysClr val="window" lastClr="FFFFFF"/>
        </a:solidFill>
        <a:ln w="28575">
          <a:solidFill>
            <a:srgbClr val="C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6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사용 전 안내</a:t>
          </a:r>
          <a:endParaRPr lang="en-US" altLang="ko-KR" sz="1600" b="1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endParaRPr lang="en-US" altLang="ko-KR" sz="100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1. 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본 비용청구양식파일은 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2026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년도만 사용 가능합니다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 (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연간업데이트예정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algn="l"/>
          <a:endParaRPr lang="en-US" altLang="ko-KR" sz="105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2. 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파일을 열 때 ‘콘텐츠사용’ 버튼을 클릭해주세요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!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매크로기능을 활성화 하여야 청구서 작성이 가능합니다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algn="l"/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참고이미지 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</a:p>
        <a:p>
          <a:pPr algn="l"/>
          <a:endParaRPr lang="en-US" altLang="ko-KR" sz="105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r>
            <a:rPr lang="en-US" altLang="ko-KR" sz="1050" b="1" u="sng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3. </a:t>
          </a:r>
          <a:r>
            <a:rPr lang="ko-KR" altLang="en-US" sz="1050" b="1" u="sng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본 양식은 회사에 청구하는 모든 비용에 대해 사용하되 청구항목성격이 다르다면 각각 따로 작성하여 청구합니다</a:t>
          </a:r>
          <a:r>
            <a:rPr lang="en-US" altLang="ko-KR" sz="1050" b="1" u="sng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algn="l"/>
          <a:r>
            <a:rPr lang="en-US" altLang="ko-KR" sz="1050" b="1" u="none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en-US" altLang="ko-KR" sz="1050" b="1" u="sng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50" b="1" u="sng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청구항목예시 </a:t>
          </a:r>
          <a:r>
            <a:rPr lang="en-US" altLang="ko-KR" sz="1050" b="1" u="sng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50" b="1" u="sng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비용</a:t>
          </a:r>
          <a:r>
            <a:rPr lang="en-US" altLang="ko-KR" sz="1050" b="1" u="sng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(=</a:t>
          </a:r>
          <a:r>
            <a:rPr lang="ko-KR" altLang="en-US" sz="1050" b="1" u="sng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일반</a:t>
          </a:r>
          <a:r>
            <a:rPr lang="en-US" altLang="ko-KR" sz="1050" b="1" u="sng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</a:t>
          </a:r>
          <a:r>
            <a:rPr lang="ko-KR" altLang="en-US" sz="1050" b="1" u="sng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개인형법인카드</a:t>
          </a:r>
          <a:r>
            <a:rPr lang="en-US" altLang="ko-KR" sz="1050" b="1" u="sng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</a:t>
          </a:r>
          <a:r>
            <a:rPr lang="ko-KR" altLang="en-US" sz="1050" b="1" u="sng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스터디비용 등 포함</a:t>
          </a:r>
          <a:r>
            <a:rPr lang="en-US" altLang="ko-KR" sz="1050" b="1" u="sng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), </a:t>
          </a:r>
          <a:r>
            <a:rPr lang="ko-KR" altLang="en-US" sz="1050" b="1" u="sng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복지비</a:t>
          </a:r>
          <a:r>
            <a:rPr lang="en-US" altLang="ko-KR" sz="1050" b="1" u="sng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50" b="1" u="sng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등</a:t>
          </a:r>
          <a:r>
            <a:rPr lang="en-US" altLang="ko-KR" sz="1050" b="1" u="sng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  <a:endParaRPr lang="en-US" altLang="ko-KR" sz="1050" b="1" u="sng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양식은 작성시트 및 교통비상세시트로 구성되어있습니다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algn="l"/>
          <a:r>
            <a:rPr lang="en-US" altLang="ko-KR" sz="105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105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청구내역은 작성시트 형태로 승인받는 것이 아닌 </a:t>
          </a:r>
          <a:r>
            <a:rPr lang="ko-KR" altLang="en-US" sz="1050" u="sng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작성시트를 </a:t>
          </a:r>
          <a:r>
            <a:rPr lang="ko-KR" altLang="en-US" sz="1050" u="sng" baseline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기입한 후 </a:t>
          </a:r>
          <a:r>
            <a:rPr lang="ko-KR" altLang="en-US" sz="1050" b="1" u="sng" baseline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청구서를 생성하여 승인</a:t>
          </a:r>
          <a:r>
            <a:rPr lang="ko-KR" altLang="en-US" sz="1050" baseline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받습니다</a:t>
          </a:r>
          <a:r>
            <a:rPr lang="en-US" altLang="ko-KR" sz="1050" baseline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algn="l"/>
          <a:r>
            <a:rPr lang="en-US" altLang="ko-KR" sz="1050" baseline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   </a:t>
          </a:r>
          <a:r>
            <a:rPr lang="ko-KR" altLang="en-US" sz="1050" baseline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생성된 청구서의 파일명은 </a:t>
          </a:r>
          <a:r>
            <a:rPr lang="en-US" altLang="ko-KR" sz="1050" baseline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1050" b="1" i="1" u="none" baseline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비용청구서</a:t>
          </a:r>
          <a:r>
            <a:rPr lang="en-US" altLang="ko-KR" sz="1050" b="1" i="1" u="none" baseline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(or</a:t>
          </a:r>
          <a:r>
            <a:rPr lang="ko-KR" altLang="en-US" sz="1050" b="1" i="1" u="none" baseline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복지비</a:t>
          </a:r>
          <a:r>
            <a:rPr lang="en-US" altLang="ko-KR" sz="1050" b="1" i="1" u="none" baseline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)_</a:t>
          </a:r>
          <a:r>
            <a:rPr lang="ko-KR" altLang="en-US" sz="1050" b="1" i="1" u="none" baseline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이름</a:t>
          </a:r>
          <a:r>
            <a:rPr lang="en-US" altLang="ko-KR" sz="1050" b="1" i="1" u="none" baseline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_YYYYMMDD</a:t>
          </a:r>
          <a:r>
            <a:rPr lang="en-US" altLang="ko-KR" sz="1050" b="1" u="none" baseline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"</a:t>
          </a:r>
          <a:r>
            <a:rPr lang="ko-KR" altLang="en-US" sz="1050" baseline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로 저장 </a:t>
          </a:r>
          <a:r>
            <a:rPr lang="en-US" altLang="ko-KR" sz="1050" baseline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50" baseline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이때 날짜는 작성일기준</a:t>
          </a:r>
          <a:r>
            <a:rPr lang="en-US" altLang="ko-KR" sz="1050" baseline="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algn="l"/>
          <a:endParaRPr lang="en-US" altLang="ko-KR" sz="105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4. 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비용청구관련 상세 안내는</a:t>
          </a:r>
          <a:r>
            <a:rPr lang="ko-KR" altLang="en-US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아래 경로에서 확인 하실 수 있으며</a:t>
          </a:r>
          <a:r>
            <a:rPr lang="en-US" altLang="ko-KR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제공되는 안내문을 읽지 않아 발생하는 책임은 작성자 본인에게 있습니다</a:t>
          </a:r>
          <a:r>
            <a:rPr lang="en-US" altLang="ko-KR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  <a:endParaRPr lang="en-US" altLang="ko-KR" sz="105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 </a:t>
          </a:r>
          <a:r>
            <a:rPr lang="ko-KR" altLang="en-US" sz="1050" u="sng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매크로버튼 기능안내 및 사용방법안내 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작성시트 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 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우측상단 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</a:t>
          </a:r>
          <a:r>
            <a:rPr lang="ko-KR" altLang="en-US" sz="1050" b="1">
              <a:solidFill>
                <a:srgbClr val="85D4BE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매크로안내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</a:t>
          </a:r>
          <a:r>
            <a:rPr lang="ko-KR" altLang="en-US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버튼 클릭</a:t>
          </a:r>
          <a:endParaRPr lang="en-US" altLang="ko-KR" sz="105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 </a:t>
          </a:r>
          <a:r>
            <a:rPr lang="ko-KR" altLang="en-US" sz="1050" u="sng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비용청구절차에 대한 안내 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작성시트 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 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우측상단 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</a:t>
          </a:r>
          <a:r>
            <a:rPr lang="ko-KR" altLang="en-US" sz="1050" b="1">
              <a:solidFill>
                <a:srgbClr val="85D4BE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청구절차안내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 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버튼 클릭</a:t>
          </a:r>
          <a:endParaRPr lang="en-US" altLang="ko-KR" sz="105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- </a:t>
          </a:r>
          <a:r>
            <a:rPr lang="ko-KR" altLang="en-US" sz="1050" u="sng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비용청구가능항목 및 지원내역안내 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작성시트 </a:t>
          </a:r>
          <a:r>
            <a:rPr lang="en-US" altLang="ko-KR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 </a:t>
          </a:r>
          <a:r>
            <a:rPr lang="ko-KR" altLang="en-US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우측상단 </a:t>
          </a:r>
          <a:r>
            <a:rPr lang="en-US" altLang="ko-KR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</a:t>
          </a:r>
          <a:r>
            <a:rPr lang="ko-KR" altLang="en-US" sz="1050" b="1" baseline="0">
              <a:solidFill>
                <a:srgbClr val="85D4BE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지원내역안내</a:t>
          </a:r>
          <a:r>
            <a:rPr lang="en-US" altLang="ko-KR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' </a:t>
          </a:r>
          <a:r>
            <a:rPr lang="ko-KR" altLang="en-US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버튼 클릭</a:t>
          </a:r>
          <a:endParaRPr lang="en-US" altLang="ko-KR" sz="1050" baseline="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r>
            <a:rPr lang="en-US" altLang="ko-KR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*</a:t>
          </a:r>
          <a:r>
            <a:rPr lang="ko-KR" altLang="en-US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일반비용청구 외에 복지비</a:t>
          </a:r>
          <a:r>
            <a:rPr lang="en-US" altLang="ko-KR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스터디비용 등의 청구절차 및 방식은 경영지원팀 통하여 별도 문의하시기 바랍니다</a:t>
          </a:r>
          <a:r>
            <a:rPr lang="en-US" altLang="ko-KR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algn="l"/>
          <a:endParaRPr lang="en-US" altLang="ko-KR" sz="1050" baseline="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endParaRPr lang="en-US" altLang="ko-KR" sz="1050" baseline="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endParaRPr lang="en-US" altLang="ko-KR" sz="1050" baseline="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endParaRPr lang="en-US" altLang="ko-KR" sz="1050" baseline="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endParaRPr lang="en-US" altLang="ko-KR" sz="1050" baseline="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endParaRPr lang="en-US" altLang="ko-KR" sz="1050" baseline="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r>
            <a:rPr lang="en-US" altLang="ko-KR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*</a:t>
          </a:r>
          <a:r>
            <a:rPr lang="ko-KR" altLang="en-US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비용청구 관련 문의는 경영지원팀</a:t>
          </a:r>
          <a:r>
            <a:rPr lang="en-US" altLang="ko-KR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내선</a:t>
          </a:r>
          <a:r>
            <a:rPr lang="en-US" altLang="ko-KR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4257)</a:t>
          </a:r>
          <a:r>
            <a:rPr lang="ko-KR" altLang="en-US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으로 연락 주시기 바랍니다</a:t>
          </a:r>
          <a:r>
            <a:rPr lang="en-US" altLang="ko-KR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:)</a:t>
          </a:r>
          <a:endParaRPr lang="en-US" altLang="ko-KR" sz="105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</xdr:col>
      <xdr:colOff>533400</xdr:colOff>
      <xdr:row>7</xdr:row>
      <xdr:rowOff>9525</xdr:rowOff>
    </xdr:from>
    <xdr:to>
      <xdr:col>7</xdr:col>
      <xdr:colOff>381000</xdr:colOff>
      <xdr:row>8</xdr:row>
      <xdr:rowOff>97615</xdr:rowOff>
    </xdr:to>
    <xdr:pic>
      <xdr:nvPicPr>
        <xdr:cNvPr id="3" name="그림 3">
          <a:extLst>
            <a:ext uri="{FF2B5EF4-FFF2-40B4-BE49-F238E27FC236}">
              <a16:creationId xmlns:a16="http://schemas.microsoft.com/office/drawing/2014/main" id="{40E712A3-4F1C-47E3-A03D-F06BC79EEB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476375"/>
          <a:ext cx="3962400" cy="2976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352425</xdr:colOff>
      <xdr:row>20</xdr:row>
      <xdr:rowOff>200024</xdr:rowOff>
    </xdr:from>
    <xdr:to>
      <xdr:col>6</xdr:col>
      <xdr:colOff>9524</xdr:colOff>
      <xdr:row>26</xdr:row>
      <xdr:rowOff>22821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C474BC54-0E35-494C-90EA-C48175E0B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2425" y="4391024"/>
          <a:ext cx="3771899" cy="1080097"/>
        </a:xfrm>
        <a:prstGeom prst="rect">
          <a:avLst/>
        </a:prstGeom>
      </xdr:spPr>
    </xdr:pic>
    <xdr:clientData/>
  </xdr:twoCellAnchor>
  <xdr:twoCellAnchor editAs="oneCell">
    <xdr:from>
      <xdr:col>13</xdr:col>
      <xdr:colOff>571501</xdr:colOff>
      <xdr:row>8</xdr:row>
      <xdr:rowOff>101249</xdr:rowOff>
    </xdr:from>
    <xdr:to>
      <xdr:col>23</xdr:col>
      <xdr:colOff>390525</xdr:colOff>
      <xdr:row>28</xdr:row>
      <xdr:rowOff>71387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2411D50E-881C-4C37-82BA-77BB86715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86901" y="1777649"/>
          <a:ext cx="6677024" cy="4161138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13</xdr:col>
      <xdr:colOff>466725</xdr:colOff>
      <xdr:row>7</xdr:row>
      <xdr:rowOff>66675</xdr:rowOff>
    </xdr:from>
    <xdr:to>
      <xdr:col>16</xdr:col>
      <xdr:colOff>19050</xdr:colOff>
      <xdr:row>9</xdr:row>
      <xdr:rowOff>133350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CE92F23-192A-44B6-8996-9312531660F3}"/>
            </a:ext>
          </a:extLst>
        </xdr:cNvPr>
        <xdr:cNvSpPr txBox="1"/>
      </xdr:nvSpPr>
      <xdr:spPr>
        <a:xfrm>
          <a:off x="9382125" y="1533525"/>
          <a:ext cx="1609725" cy="485775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1100" b="1"/>
            <a:t>청구서 생성 예시</a:t>
          </a:r>
        </a:p>
      </xdr:txBody>
    </xdr:sp>
    <xdr:clientData/>
  </xdr:twoCellAnchor>
  <xdr:twoCellAnchor>
    <xdr:from>
      <xdr:col>9</xdr:col>
      <xdr:colOff>352425</xdr:colOff>
      <xdr:row>8</xdr:row>
      <xdr:rowOff>142875</xdr:rowOff>
    </xdr:from>
    <xdr:to>
      <xdr:col>13</xdr:col>
      <xdr:colOff>409575</xdr:colOff>
      <xdr:row>13</xdr:row>
      <xdr:rowOff>0</xdr:rowOff>
    </xdr:to>
    <xdr:cxnSp macro="">
      <xdr:nvCxnSpPr>
        <xdr:cNvPr id="8" name="직선 화살표 연결선 7">
          <a:extLst>
            <a:ext uri="{FF2B5EF4-FFF2-40B4-BE49-F238E27FC236}">
              <a16:creationId xmlns:a16="http://schemas.microsoft.com/office/drawing/2014/main" id="{C41E8E67-F7D0-4A4B-857A-998C6DDCDC68}"/>
            </a:ext>
          </a:extLst>
        </xdr:cNvPr>
        <xdr:cNvCxnSpPr/>
      </xdr:nvCxnSpPr>
      <xdr:spPr>
        <a:xfrm flipV="1">
          <a:off x="6524625" y="1819275"/>
          <a:ext cx="2800350" cy="904875"/>
        </a:xfrm>
        <a:prstGeom prst="straightConnector1">
          <a:avLst/>
        </a:prstGeom>
        <a:ln w="28575">
          <a:solidFill>
            <a:schemeClr val="tx1"/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456080</xdr:colOff>
      <xdr:row>1</xdr:row>
      <xdr:rowOff>152400</xdr:rowOff>
    </xdr:from>
    <xdr:to>
      <xdr:col>11</xdr:col>
      <xdr:colOff>213293</xdr:colOff>
      <xdr:row>4</xdr:row>
      <xdr:rowOff>47626</xdr:rowOff>
    </xdr:to>
    <xdr:pic>
      <xdr:nvPicPr>
        <xdr:cNvPr id="13" name="그림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C1A21CD-C909-4E93-95C0-220F121408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duotone>
            <a:schemeClr val="accent1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11649075" y="352425"/>
          <a:ext cx="557314" cy="523876"/>
        </a:xfrm>
        <a:prstGeom prst="rect">
          <a:avLst/>
        </a:prstGeom>
      </xdr:spPr>
    </xdr:pic>
    <xdr:clientData/>
  </xdr:twoCellAnchor>
  <xdr:twoCellAnchor editAs="absolute">
    <xdr:from>
      <xdr:col>4</xdr:col>
      <xdr:colOff>427505</xdr:colOff>
      <xdr:row>1</xdr:row>
      <xdr:rowOff>9525</xdr:rowOff>
    </xdr:from>
    <xdr:to>
      <xdr:col>8</xdr:col>
      <xdr:colOff>389404</xdr:colOff>
      <xdr:row>5</xdr:row>
      <xdr:rowOff>142875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06B8C2F1-1F5C-457A-BE36-5C3235E252BF}"/>
            </a:ext>
          </a:extLst>
        </xdr:cNvPr>
        <xdr:cNvSpPr>
          <a:spLocks noChangeAspect="1"/>
        </xdr:cNvSpPr>
      </xdr:nvSpPr>
      <xdr:spPr>
        <a:xfrm>
          <a:off x="4029075" y="209550"/>
          <a:ext cx="3971925" cy="971550"/>
        </a:xfrm>
        <a:prstGeom prst="rect">
          <a:avLst/>
        </a:prstGeom>
        <a:noFill/>
        <a:ln w="19050">
          <a:solidFill>
            <a:srgbClr val="FFCC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4</xdr:col>
      <xdr:colOff>618005</xdr:colOff>
      <xdr:row>0</xdr:row>
      <xdr:rowOff>85725</xdr:rowOff>
    </xdr:from>
    <xdr:to>
      <xdr:col>8</xdr:col>
      <xdr:colOff>122704</xdr:colOff>
      <xdr:row>1</xdr:row>
      <xdr:rowOff>104775</xdr:rowOff>
    </xdr:to>
    <xdr:sp macro="" textlink="">
      <xdr:nvSpPr>
        <xdr:cNvPr id="8" name="직사각형 7">
          <a:extLst>
            <a:ext uri="{FF2B5EF4-FFF2-40B4-BE49-F238E27FC236}">
              <a16:creationId xmlns:a16="http://schemas.microsoft.com/office/drawing/2014/main" id="{1ADF170F-8F04-47FE-A466-35E16CB62831}"/>
            </a:ext>
          </a:extLst>
        </xdr:cNvPr>
        <xdr:cNvSpPr>
          <a:spLocks noChangeAspect="1"/>
        </xdr:cNvSpPr>
      </xdr:nvSpPr>
      <xdr:spPr>
        <a:xfrm>
          <a:off x="4219575" y="85725"/>
          <a:ext cx="3514725" cy="219075"/>
        </a:xfrm>
        <a:prstGeom prst="rect">
          <a:avLst/>
        </a:prstGeom>
        <a:solidFill>
          <a:srgbClr val="FFCCCC"/>
        </a:solidFill>
        <a:ln w="19050">
          <a:solidFill>
            <a:srgbClr val="FFCC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>
                  <a:lumMod val="75000"/>
                  <a:lumOff val="25000"/>
                </a:schemeClr>
              </a:solidFill>
            </a:rPr>
            <a:t>&lt;</a:t>
          </a:r>
          <a:r>
            <a:rPr lang="ko-KR" altLang="en-US" sz="1000" b="1">
              <a:solidFill>
                <a:schemeClr val="tx1">
                  <a:lumMod val="75000"/>
                  <a:lumOff val="25000"/>
                </a:schemeClr>
              </a:solidFill>
            </a:rPr>
            <a:t>필수사용버튼</a:t>
          </a:r>
          <a:r>
            <a:rPr lang="en-US" altLang="ko-KR" sz="1000" b="1">
              <a:solidFill>
                <a:schemeClr val="tx1">
                  <a:lumMod val="75000"/>
                  <a:lumOff val="25000"/>
                </a:schemeClr>
              </a:solidFill>
            </a:rPr>
            <a:t>&gt;</a:t>
          </a:r>
          <a:endParaRPr lang="ko-KR" altLang="en-US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4</xdr:col>
      <xdr:colOff>475130</xdr:colOff>
      <xdr:row>4</xdr:row>
      <xdr:rowOff>0</xdr:rowOff>
    </xdr:from>
    <xdr:to>
      <xdr:col>5</xdr:col>
      <xdr:colOff>8404</xdr:colOff>
      <xdr:row>5</xdr:row>
      <xdr:rowOff>57150</xdr:rowOff>
    </xdr:to>
    <xdr:sp macro="" textlink="">
      <xdr:nvSpPr>
        <xdr:cNvPr id="29" name="직사각형 28">
          <a:extLst>
            <a:ext uri="{FF2B5EF4-FFF2-40B4-BE49-F238E27FC236}">
              <a16:creationId xmlns:a16="http://schemas.microsoft.com/office/drawing/2014/main" id="{0EC61D91-1DCB-4991-BA64-51630FDD7260}"/>
            </a:ext>
          </a:extLst>
        </xdr:cNvPr>
        <xdr:cNvSpPr>
          <a:spLocks noChangeAspect="1"/>
        </xdr:cNvSpPr>
      </xdr:nvSpPr>
      <xdr:spPr>
        <a:xfrm>
          <a:off x="4076700" y="828675"/>
          <a:ext cx="962025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solidFill>
                <a:schemeClr val="bg1">
                  <a:lumMod val="50000"/>
                </a:schemeClr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기초정보입력</a:t>
          </a:r>
        </a:p>
      </xdr:txBody>
    </xdr:sp>
    <xdr:clientData/>
  </xdr:twoCellAnchor>
  <xdr:twoCellAnchor editAs="absolute">
    <xdr:from>
      <xdr:col>5</xdr:col>
      <xdr:colOff>8404</xdr:colOff>
      <xdr:row>4</xdr:row>
      <xdr:rowOff>0</xdr:rowOff>
    </xdr:from>
    <xdr:to>
      <xdr:col>6</xdr:col>
      <xdr:colOff>198904</xdr:colOff>
      <xdr:row>5</xdr:row>
      <xdr:rowOff>57150</xdr:rowOff>
    </xdr:to>
    <xdr:sp macro="" textlink="">
      <xdr:nvSpPr>
        <xdr:cNvPr id="30" name="직사각형 29">
          <a:extLst>
            <a:ext uri="{FF2B5EF4-FFF2-40B4-BE49-F238E27FC236}">
              <a16:creationId xmlns:a16="http://schemas.microsoft.com/office/drawing/2014/main" id="{A9315419-DA60-4BD8-829A-2B33839F468D}"/>
            </a:ext>
          </a:extLst>
        </xdr:cNvPr>
        <xdr:cNvSpPr>
          <a:spLocks noChangeAspect="1"/>
        </xdr:cNvSpPr>
      </xdr:nvSpPr>
      <xdr:spPr>
        <a:xfrm>
          <a:off x="5038725" y="828675"/>
          <a:ext cx="962025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solidFill>
                <a:schemeClr val="bg1">
                  <a:lumMod val="50000"/>
                </a:schemeClr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매크로검토</a:t>
          </a:r>
        </a:p>
      </xdr:txBody>
    </xdr:sp>
    <xdr:clientData/>
  </xdr:twoCellAnchor>
  <xdr:twoCellAnchor editAs="absolute">
    <xdr:from>
      <xdr:col>6</xdr:col>
      <xdr:colOff>208429</xdr:colOff>
      <xdr:row>4</xdr:row>
      <xdr:rowOff>0</xdr:rowOff>
    </xdr:from>
    <xdr:to>
      <xdr:col>7</xdr:col>
      <xdr:colOff>132229</xdr:colOff>
      <xdr:row>5</xdr:row>
      <xdr:rowOff>57150</xdr:rowOff>
    </xdr:to>
    <xdr:sp macro="" textlink="">
      <xdr:nvSpPr>
        <xdr:cNvPr id="31" name="직사각형 30">
          <a:extLst>
            <a:ext uri="{FF2B5EF4-FFF2-40B4-BE49-F238E27FC236}">
              <a16:creationId xmlns:a16="http://schemas.microsoft.com/office/drawing/2014/main" id="{0E964803-4EF2-409F-AEC5-876100F7A57C}"/>
            </a:ext>
          </a:extLst>
        </xdr:cNvPr>
        <xdr:cNvSpPr>
          <a:spLocks noChangeAspect="1"/>
        </xdr:cNvSpPr>
      </xdr:nvSpPr>
      <xdr:spPr>
        <a:xfrm>
          <a:off x="6010275" y="828675"/>
          <a:ext cx="962025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solidFill>
                <a:schemeClr val="bg1">
                  <a:lumMod val="50000"/>
                </a:schemeClr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서명</a:t>
          </a:r>
        </a:p>
      </xdr:txBody>
    </xdr:sp>
    <xdr:clientData/>
  </xdr:twoCellAnchor>
  <xdr:twoCellAnchor editAs="absolute">
    <xdr:from>
      <xdr:col>7</xdr:col>
      <xdr:colOff>122704</xdr:colOff>
      <xdr:row>4</xdr:row>
      <xdr:rowOff>0</xdr:rowOff>
    </xdr:from>
    <xdr:to>
      <xdr:col>8</xdr:col>
      <xdr:colOff>313204</xdr:colOff>
      <xdr:row>5</xdr:row>
      <xdr:rowOff>57150</xdr:rowOff>
    </xdr:to>
    <xdr:sp macro="" textlink="">
      <xdr:nvSpPr>
        <xdr:cNvPr id="32" name="직사각형 31">
          <a:extLst>
            <a:ext uri="{FF2B5EF4-FFF2-40B4-BE49-F238E27FC236}">
              <a16:creationId xmlns:a16="http://schemas.microsoft.com/office/drawing/2014/main" id="{5F481C7B-5EA4-4B58-A1CC-7A430EC23E1B}"/>
            </a:ext>
          </a:extLst>
        </xdr:cNvPr>
        <xdr:cNvSpPr>
          <a:spLocks noChangeAspect="1"/>
        </xdr:cNvSpPr>
      </xdr:nvSpPr>
      <xdr:spPr>
        <a:xfrm>
          <a:off x="6972300" y="828675"/>
          <a:ext cx="962025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solidFill>
                <a:schemeClr val="bg1">
                  <a:lumMod val="50000"/>
                </a:schemeClr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청구서생성</a:t>
          </a:r>
        </a:p>
      </xdr:txBody>
    </xdr:sp>
    <xdr:clientData/>
  </xdr:twoCellAnchor>
  <xdr:twoCellAnchor>
    <xdr:from>
      <xdr:col>6</xdr:col>
      <xdr:colOff>775759</xdr:colOff>
      <xdr:row>1</xdr:row>
      <xdr:rowOff>190500</xdr:rowOff>
    </xdr:from>
    <xdr:to>
      <xdr:col>7</xdr:col>
      <xdr:colOff>229659</xdr:colOff>
      <xdr:row>4</xdr:row>
      <xdr:rowOff>54173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4FB3DEA2-0A2F-2DB9-F9D3-282795ECAB86}"/>
            </a:ext>
          </a:extLst>
        </xdr:cNvPr>
        <xdr:cNvGrpSpPr/>
      </xdr:nvGrpSpPr>
      <xdr:grpSpPr>
        <a:xfrm>
          <a:off x="6572935" y="384735"/>
          <a:ext cx="499783" cy="491203"/>
          <a:chOff x="6252634" y="390525"/>
          <a:chExt cx="492125" cy="492323"/>
        </a:xfrm>
      </xdr:grpSpPr>
      <xdr:sp macro="[0]!동작매크로_본인서명하기" textlink="">
        <xdr:nvSpPr>
          <xdr:cNvPr id="34" name="타원 33">
            <a:extLst>
              <a:ext uri="{FF2B5EF4-FFF2-40B4-BE49-F238E27FC236}">
                <a16:creationId xmlns:a16="http://schemas.microsoft.com/office/drawing/2014/main" id="{F187EB8A-2324-41D4-98C8-97EE30C60FBB}"/>
              </a:ext>
            </a:extLst>
          </xdr:cNvPr>
          <xdr:cNvSpPr/>
        </xdr:nvSpPr>
        <xdr:spPr>
          <a:xfrm>
            <a:off x="6252634" y="390525"/>
            <a:ext cx="492125" cy="492323"/>
          </a:xfrm>
          <a:prstGeom prst="ellipse">
            <a:avLst/>
          </a:prstGeom>
          <a:solidFill>
            <a:srgbClr val="FFCCCC"/>
          </a:solidFill>
          <a:ln>
            <a:solidFill>
              <a:srgbClr val="FFCCCC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동작매크로_본인서명하기">
        <xdr:nvPicPr>
          <xdr:cNvPr id="35" name="그래픽 34" descr="서명 단색으로 채워진">
            <a:extLst>
              <a:ext uri="{FF2B5EF4-FFF2-40B4-BE49-F238E27FC236}">
                <a16:creationId xmlns:a16="http://schemas.microsoft.com/office/drawing/2014/main" id="{AC2E8B04-1E05-45E5-AB4F-0999ACFFB9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332984" y="485774"/>
            <a:ext cx="326713" cy="326713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576792</xdr:colOff>
      <xdr:row>1</xdr:row>
      <xdr:rowOff>190500</xdr:rowOff>
    </xdr:from>
    <xdr:to>
      <xdr:col>6</xdr:col>
      <xdr:colOff>303742</xdr:colOff>
      <xdr:row>4</xdr:row>
      <xdr:rowOff>60325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9616B53B-0C87-A848-40B8-21EAB99E503D}"/>
            </a:ext>
          </a:extLst>
        </xdr:cNvPr>
        <xdr:cNvGrpSpPr/>
      </xdr:nvGrpSpPr>
      <xdr:grpSpPr>
        <a:xfrm>
          <a:off x="5597027" y="384735"/>
          <a:ext cx="503891" cy="497355"/>
          <a:chOff x="5282142" y="390525"/>
          <a:chExt cx="498475" cy="498475"/>
        </a:xfrm>
      </xdr:grpSpPr>
      <xdr:sp macro="[0]!동작매크로_매크로검토" textlink="">
        <xdr:nvSpPr>
          <xdr:cNvPr id="36" name="타원 35">
            <a:extLst>
              <a:ext uri="{FF2B5EF4-FFF2-40B4-BE49-F238E27FC236}">
                <a16:creationId xmlns:a16="http://schemas.microsoft.com/office/drawing/2014/main" id="{E5512B48-C5FA-46AF-BBC4-D59D09E484A9}"/>
              </a:ext>
            </a:extLst>
          </xdr:cNvPr>
          <xdr:cNvSpPr/>
        </xdr:nvSpPr>
        <xdr:spPr>
          <a:xfrm>
            <a:off x="5282142" y="390525"/>
            <a:ext cx="498475" cy="498475"/>
          </a:xfrm>
          <a:prstGeom prst="ellipse">
            <a:avLst/>
          </a:prstGeom>
          <a:solidFill>
            <a:schemeClr val="bg1"/>
          </a:solidFill>
          <a:ln>
            <a:solidFill>
              <a:srgbClr val="FFCCCC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동작매크로_매크로검토">
        <xdr:nvPicPr>
          <xdr:cNvPr id="37" name="그래픽 36" descr="확인 표시 단색으로 채워진">
            <a:extLst>
              <a:ext uri="{FF2B5EF4-FFF2-40B4-BE49-F238E27FC236}">
                <a16:creationId xmlns:a16="http://schemas.microsoft.com/office/drawing/2014/main" id="{D833A046-4DA1-4BCC-ABDF-CE5ACFCF8A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401205" y="514350"/>
            <a:ext cx="271896" cy="271896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2438104</xdr:colOff>
      <xdr:row>1</xdr:row>
      <xdr:rowOff>190500</xdr:rowOff>
    </xdr:from>
    <xdr:to>
      <xdr:col>8</xdr:col>
      <xdr:colOff>2924175</xdr:colOff>
      <xdr:row>4</xdr:row>
      <xdr:rowOff>48117</xdr:rowOff>
    </xdr:to>
    <xdr:grpSp>
      <xdr:nvGrpSpPr>
        <xdr:cNvPr id="11" name="그룹 10">
          <a:extLst>
            <a:ext uri="{FF2B5EF4-FFF2-40B4-BE49-F238E27FC236}">
              <a16:creationId xmlns:a16="http://schemas.microsoft.com/office/drawing/2014/main" id="{55CAFA20-C0C1-60CD-5028-482702D6C914}"/>
            </a:ext>
          </a:extLst>
        </xdr:cNvPr>
        <xdr:cNvGrpSpPr/>
      </xdr:nvGrpSpPr>
      <xdr:grpSpPr>
        <a:xfrm>
          <a:off x="10058104" y="384735"/>
          <a:ext cx="486071" cy="485147"/>
          <a:chOff x="9724729" y="390525"/>
          <a:chExt cx="486071" cy="486267"/>
        </a:xfrm>
      </xdr:grpSpPr>
      <xdr:sp macro="[0]!동작매크로_내역수정" textlink="">
        <xdr:nvSpPr>
          <xdr:cNvPr id="38" name="타원 37">
            <a:extLst>
              <a:ext uri="{FF2B5EF4-FFF2-40B4-BE49-F238E27FC236}">
                <a16:creationId xmlns:a16="http://schemas.microsoft.com/office/drawing/2014/main" id="{ECCF6FE2-CAEC-4F11-B259-DE9ABF105E3B}"/>
              </a:ext>
            </a:extLst>
          </xdr:cNvPr>
          <xdr:cNvSpPr/>
        </xdr:nvSpPr>
        <xdr:spPr>
          <a:xfrm>
            <a:off x="9724729" y="390525"/>
            <a:ext cx="486071" cy="486267"/>
          </a:xfrm>
          <a:prstGeom prst="ellipse">
            <a:avLst/>
          </a:prstGeom>
          <a:solidFill>
            <a:srgbClr val="99CCFF"/>
          </a:solidFill>
          <a:ln>
            <a:solidFill>
              <a:srgbClr val="99CC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동작매크로_내역수정">
        <xdr:nvPicPr>
          <xdr:cNvPr id="39" name="그래픽 38" descr="펜 단색으로 채워진">
            <a:extLst>
              <a:ext uri="{FF2B5EF4-FFF2-40B4-BE49-F238E27FC236}">
                <a16:creationId xmlns:a16="http://schemas.microsoft.com/office/drawing/2014/main" id="{06763D9C-D398-4611-B901-D8380D6748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805079" y="476251"/>
            <a:ext cx="224450" cy="224450"/>
          </a:xfrm>
          <a:prstGeom prst="rect">
            <a:avLst/>
          </a:prstGeom>
        </xdr:spPr>
      </xdr:pic>
      <xdr:pic macro="[0]!동작매크로_내역수정">
        <xdr:nvPicPr>
          <xdr:cNvPr id="40" name="그래픽 39" descr="지우개 단색으로 채워진">
            <a:extLst>
              <a:ext uri="{FF2B5EF4-FFF2-40B4-BE49-F238E27FC236}">
                <a16:creationId xmlns:a16="http://schemas.microsoft.com/office/drawing/2014/main" id="{9948B47B-E3B4-4720-9D50-C428CB1440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900329" y="581026"/>
            <a:ext cx="224450" cy="22445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846604</xdr:colOff>
      <xdr:row>1</xdr:row>
      <xdr:rowOff>19050</xdr:rowOff>
    </xdr:from>
    <xdr:to>
      <xdr:col>11</xdr:col>
      <xdr:colOff>446554</xdr:colOff>
      <xdr:row>5</xdr:row>
      <xdr:rowOff>152400</xdr:rowOff>
    </xdr:to>
    <xdr:sp macro="" textlink="">
      <xdr:nvSpPr>
        <xdr:cNvPr id="42" name="직사각형 41">
          <a:extLst>
            <a:ext uri="{FF2B5EF4-FFF2-40B4-BE49-F238E27FC236}">
              <a16:creationId xmlns:a16="http://schemas.microsoft.com/office/drawing/2014/main" id="{044B7FAA-6174-4C2C-8207-1BC635F78124}"/>
            </a:ext>
          </a:extLst>
        </xdr:cNvPr>
        <xdr:cNvSpPr>
          <a:spLocks noChangeAspect="1"/>
        </xdr:cNvSpPr>
      </xdr:nvSpPr>
      <xdr:spPr>
        <a:xfrm>
          <a:off x="8467725" y="219075"/>
          <a:ext cx="3971925" cy="971550"/>
        </a:xfrm>
        <a:prstGeom prst="rect">
          <a:avLst/>
        </a:prstGeom>
        <a:noFill/>
        <a:ln w="19050">
          <a:solidFill>
            <a:srgbClr val="99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1037104</xdr:colOff>
      <xdr:row>0</xdr:row>
      <xdr:rowOff>95250</xdr:rowOff>
    </xdr:from>
    <xdr:to>
      <xdr:col>11</xdr:col>
      <xdr:colOff>179854</xdr:colOff>
      <xdr:row>1</xdr:row>
      <xdr:rowOff>114300</xdr:rowOff>
    </xdr:to>
    <xdr:sp macro="" textlink="">
      <xdr:nvSpPr>
        <xdr:cNvPr id="43" name="직사각형 42">
          <a:extLst>
            <a:ext uri="{FF2B5EF4-FFF2-40B4-BE49-F238E27FC236}">
              <a16:creationId xmlns:a16="http://schemas.microsoft.com/office/drawing/2014/main" id="{A12BE2A2-859E-49F3-8FAE-65AD640289DC}"/>
            </a:ext>
          </a:extLst>
        </xdr:cNvPr>
        <xdr:cNvSpPr>
          <a:spLocks noChangeAspect="1"/>
        </xdr:cNvSpPr>
      </xdr:nvSpPr>
      <xdr:spPr>
        <a:xfrm>
          <a:off x="8658225" y="95250"/>
          <a:ext cx="3514725" cy="219075"/>
        </a:xfrm>
        <a:prstGeom prst="rect">
          <a:avLst/>
        </a:prstGeom>
        <a:solidFill>
          <a:srgbClr val="99CCFF"/>
        </a:solidFill>
        <a:ln w="19050">
          <a:solidFill>
            <a:srgbClr val="99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>
                  <a:lumMod val="75000"/>
                  <a:lumOff val="25000"/>
                </a:schemeClr>
              </a:solidFill>
            </a:rPr>
            <a:t>&lt;</a:t>
          </a:r>
          <a:r>
            <a:rPr lang="ko-KR" altLang="en-US" sz="1000" b="1">
              <a:solidFill>
                <a:schemeClr val="tx1">
                  <a:lumMod val="75000"/>
                  <a:lumOff val="25000"/>
                </a:schemeClr>
              </a:solidFill>
            </a:rPr>
            <a:t>부가옵션버튼</a:t>
          </a:r>
          <a:r>
            <a:rPr lang="en-US" altLang="ko-KR" sz="1000" b="1">
              <a:solidFill>
                <a:schemeClr val="tx1">
                  <a:lumMod val="75000"/>
                  <a:lumOff val="25000"/>
                </a:schemeClr>
              </a:solidFill>
            </a:rPr>
            <a:t>&gt;</a:t>
          </a:r>
          <a:endParaRPr lang="ko-KR" altLang="en-US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 editAs="absolute">
    <xdr:from>
      <xdr:col>11</xdr:col>
      <xdr:colOff>884704</xdr:colOff>
      <xdr:row>1</xdr:row>
      <xdr:rowOff>28575</xdr:rowOff>
    </xdr:from>
    <xdr:to>
      <xdr:col>13</xdr:col>
      <xdr:colOff>951379</xdr:colOff>
      <xdr:row>5</xdr:row>
      <xdr:rowOff>161925</xdr:rowOff>
    </xdr:to>
    <xdr:sp macro="" textlink="">
      <xdr:nvSpPr>
        <xdr:cNvPr id="44" name="직사각형 43">
          <a:extLst>
            <a:ext uri="{FF2B5EF4-FFF2-40B4-BE49-F238E27FC236}">
              <a16:creationId xmlns:a16="http://schemas.microsoft.com/office/drawing/2014/main" id="{F181C4FE-EF8C-4238-BA48-B62B9C67B102}"/>
            </a:ext>
          </a:extLst>
        </xdr:cNvPr>
        <xdr:cNvSpPr>
          <a:spLocks noChangeAspect="1"/>
        </xdr:cNvSpPr>
      </xdr:nvSpPr>
      <xdr:spPr>
        <a:xfrm>
          <a:off x="12877800" y="228600"/>
          <a:ext cx="3971925" cy="971550"/>
        </a:xfrm>
        <a:prstGeom prst="rect">
          <a:avLst/>
        </a:prstGeom>
        <a:noFill/>
        <a:ln w="19050">
          <a:solidFill>
            <a:srgbClr val="85D4B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1075204</xdr:colOff>
      <xdr:row>0</xdr:row>
      <xdr:rowOff>104775</xdr:rowOff>
    </xdr:from>
    <xdr:to>
      <xdr:col>13</xdr:col>
      <xdr:colOff>684679</xdr:colOff>
      <xdr:row>1</xdr:row>
      <xdr:rowOff>123825</xdr:rowOff>
    </xdr:to>
    <xdr:sp macro="" textlink="">
      <xdr:nvSpPr>
        <xdr:cNvPr id="45" name="직사각형 44">
          <a:extLst>
            <a:ext uri="{FF2B5EF4-FFF2-40B4-BE49-F238E27FC236}">
              <a16:creationId xmlns:a16="http://schemas.microsoft.com/office/drawing/2014/main" id="{707B7FDD-2E0E-4C1D-9F2A-EFEB6B3ACE9A}"/>
            </a:ext>
          </a:extLst>
        </xdr:cNvPr>
        <xdr:cNvSpPr>
          <a:spLocks noChangeAspect="1"/>
        </xdr:cNvSpPr>
      </xdr:nvSpPr>
      <xdr:spPr>
        <a:xfrm>
          <a:off x="13068300" y="104775"/>
          <a:ext cx="3514725" cy="219075"/>
        </a:xfrm>
        <a:prstGeom prst="rect">
          <a:avLst/>
        </a:prstGeom>
        <a:solidFill>
          <a:srgbClr val="85D4BE"/>
        </a:solidFill>
        <a:ln w="19050">
          <a:solidFill>
            <a:srgbClr val="85D4B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>
                  <a:lumMod val="75000"/>
                  <a:lumOff val="25000"/>
                </a:schemeClr>
              </a:solidFill>
            </a:rPr>
            <a:t>&lt;</a:t>
          </a:r>
          <a:r>
            <a:rPr lang="ko-KR" altLang="en-US" sz="1000" b="1">
              <a:solidFill>
                <a:schemeClr val="tx1">
                  <a:lumMod val="75000"/>
                  <a:lumOff val="25000"/>
                </a:schemeClr>
              </a:solidFill>
            </a:rPr>
            <a:t>안내</a:t>
          </a:r>
          <a:r>
            <a:rPr lang="en-US" altLang="ko-KR" sz="1000" b="1">
              <a:solidFill>
                <a:schemeClr val="tx1">
                  <a:lumMod val="75000"/>
                  <a:lumOff val="25000"/>
                </a:schemeClr>
              </a:solidFill>
            </a:rPr>
            <a:t>&gt;</a:t>
          </a:r>
          <a:endParaRPr lang="ko-KR" altLang="en-US" sz="10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4</xdr:col>
      <xdr:colOff>1041400</xdr:colOff>
      <xdr:row>1</xdr:row>
      <xdr:rowOff>190500</xdr:rowOff>
    </xdr:from>
    <xdr:to>
      <xdr:col>5</xdr:col>
      <xdr:colOff>104775</xdr:colOff>
      <xdr:row>4</xdr:row>
      <xdr:rowOff>54173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1CB85EA8-223A-7F36-A235-FEDDD8C2D38A}"/>
            </a:ext>
          </a:extLst>
        </xdr:cNvPr>
        <xdr:cNvGrpSpPr/>
      </xdr:nvGrpSpPr>
      <xdr:grpSpPr>
        <a:xfrm>
          <a:off x="4642224" y="384735"/>
          <a:ext cx="482786" cy="491203"/>
          <a:chOff x="4318000" y="390525"/>
          <a:chExt cx="492125" cy="492323"/>
        </a:xfrm>
      </xdr:grpSpPr>
      <xdr:sp macro="[0]!동작매크로_기초정보입력" textlink="">
        <xdr:nvSpPr>
          <xdr:cNvPr id="49" name="타원 48">
            <a:extLst>
              <a:ext uri="{FF2B5EF4-FFF2-40B4-BE49-F238E27FC236}">
                <a16:creationId xmlns:a16="http://schemas.microsoft.com/office/drawing/2014/main" id="{96F7DEF2-69BE-4D85-A314-483594C8D7C1}"/>
              </a:ext>
            </a:extLst>
          </xdr:cNvPr>
          <xdr:cNvSpPr/>
        </xdr:nvSpPr>
        <xdr:spPr>
          <a:xfrm>
            <a:off x="4318000" y="390525"/>
            <a:ext cx="492125" cy="492323"/>
          </a:xfrm>
          <a:prstGeom prst="ellipse">
            <a:avLst/>
          </a:prstGeom>
          <a:solidFill>
            <a:srgbClr val="FFCCCC"/>
          </a:solidFill>
          <a:ln>
            <a:solidFill>
              <a:srgbClr val="FFCCCC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동작매크로_기초정보입력">
        <xdr:nvPicPr>
          <xdr:cNvPr id="48" name="그래픽 47" descr="사원증 단색으로 채워진">
            <a:extLst>
              <a:ext uri="{FF2B5EF4-FFF2-40B4-BE49-F238E27FC236}">
                <a16:creationId xmlns:a16="http://schemas.microsoft.com/office/drawing/2014/main" id="{DE60411B-C860-4627-9CC5-D7E0977908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4381500" y="438150"/>
            <a:ext cx="371475" cy="371475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692150</xdr:colOff>
      <xdr:row>1</xdr:row>
      <xdr:rowOff>190500</xdr:rowOff>
    </xdr:from>
    <xdr:to>
      <xdr:col>8</xdr:col>
      <xdr:colOff>419100</xdr:colOff>
      <xdr:row>4</xdr:row>
      <xdr:rowOff>60325</xdr:rowOff>
    </xdr:to>
    <xdr:grpSp>
      <xdr:nvGrpSpPr>
        <xdr:cNvPr id="7" name="그룹 6">
          <a:extLst>
            <a:ext uri="{FF2B5EF4-FFF2-40B4-BE49-F238E27FC236}">
              <a16:creationId xmlns:a16="http://schemas.microsoft.com/office/drawing/2014/main" id="{342453B8-20A5-0E23-3DE4-D1A05012B75C}"/>
            </a:ext>
          </a:extLst>
        </xdr:cNvPr>
        <xdr:cNvGrpSpPr/>
      </xdr:nvGrpSpPr>
      <xdr:grpSpPr>
        <a:xfrm>
          <a:off x="7535209" y="384735"/>
          <a:ext cx="503891" cy="497355"/>
          <a:chOff x="7207250" y="390525"/>
          <a:chExt cx="498475" cy="498475"/>
        </a:xfrm>
      </xdr:grpSpPr>
      <xdr:sp macro="[0]!동작매크로_비용청구서생성" textlink="">
        <xdr:nvSpPr>
          <xdr:cNvPr id="53" name="타원 52">
            <a:extLst>
              <a:ext uri="{FF2B5EF4-FFF2-40B4-BE49-F238E27FC236}">
                <a16:creationId xmlns:a16="http://schemas.microsoft.com/office/drawing/2014/main" id="{FE7C04AF-0EF5-411A-B59D-53A0EE720D7A}"/>
              </a:ext>
            </a:extLst>
          </xdr:cNvPr>
          <xdr:cNvSpPr/>
        </xdr:nvSpPr>
        <xdr:spPr>
          <a:xfrm>
            <a:off x="7207250" y="390525"/>
            <a:ext cx="498475" cy="498475"/>
          </a:xfrm>
          <a:prstGeom prst="ellipse">
            <a:avLst/>
          </a:prstGeom>
          <a:solidFill>
            <a:schemeClr val="bg1"/>
          </a:solidFill>
          <a:ln>
            <a:solidFill>
              <a:srgbClr val="FFCCCC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동작매크로_비용청구서생성">
        <xdr:nvPicPr>
          <xdr:cNvPr id="55" name="그래픽 54" descr="클립보드 단색으로 채워진">
            <a:extLst>
              <a:ext uri="{FF2B5EF4-FFF2-40B4-BE49-F238E27FC236}">
                <a16:creationId xmlns:a16="http://schemas.microsoft.com/office/drawing/2014/main" id="{64BC63C6-B544-4B49-9DD9-0F0C00E8EC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7305675" y="466725"/>
            <a:ext cx="333375" cy="333375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1434042</xdr:colOff>
      <xdr:row>1</xdr:row>
      <xdr:rowOff>190500</xdr:rowOff>
    </xdr:from>
    <xdr:to>
      <xdr:col>8</xdr:col>
      <xdr:colOff>1932517</xdr:colOff>
      <xdr:row>4</xdr:row>
      <xdr:rowOff>60325</xdr:rowOff>
    </xdr:to>
    <xdr:grpSp>
      <xdr:nvGrpSpPr>
        <xdr:cNvPr id="9" name="그룹 8">
          <a:extLst>
            <a:ext uri="{FF2B5EF4-FFF2-40B4-BE49-F238E27FC236}">
              <a16:creationId xmlns:a16="http://schemas.microsoft.com/office/drawing/2014/main" id="{44A53076-BCE2-4179-6EEA-62B15CE53039}"/>
            </a:ext>
          </a:extLst>
        </xdr:cNvPr>
        <xdr:cNvGrpSpPr/>
      </xdr:nvGrpSpPr>
      <xdr:grpSpPr>
        <a:xfrm>
          <a:off x="9054042" y="384735"/>
          <a:ext cx="498475" cy="497355"/>
          <a:chOff x="8720667" y="390525"/>
          <a:chExt cx="498475" cy="498475"/>
        </a:xfrm>
      </xdr:grpSpPr>
      <xdr:sp macro="[0]!동작매크로_미리보기" textlink="">
        <xdr:nvSpPr>
          <xdr:cNvPr id="62" name="타원 61">
            <a:extLst>
              <a:ext uri="{FF2B5EF4-FFF2-40B4-BE49-F238E27FC236}">
                <a16:creationId xmlns:a16="http://schemas.microsoft.com/office/drawing/2014/main" id="{95D6CA75-6ACE-494F-AFA3-DD334BB877F2}"/>
              </a:ext>
            </a:extLst>
          </xdr:cNvPr>
          <xdr:cNvSpPr/>
        </xdr:nvSpPr>
        <xdr:spPr>
          <a:xfrm>
            <a:off x="8720667" y="390525"/>
            <a:ext cx="498475" cy="498475"/>
          </a:xfrm>
          <a:prstGeom prst="ellipse">
            <a:avLst/>
          </a:prstGeom>
          <a:solidFill>
            <a:schemeClr val="bg1"/>
          </a:solidFill>
          <a:ln>
            <a:solidFill>
              <a:srgbClr val="99CC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동작매크로_미리보기">
        <xdr:nvPicPr>
          <xdr:cNvPr id="61" name="그래픽 60" descr="클립보드 단색으로 채워진">
            <a:extLst>
              <a:ext uri="{FF2B5EF4-FFF2-40B4-BE49-F238E27FC236}">
                <a16:creationId xmlns:a16="http://schemas.microsoft.com/office/drawing/2014/main" id="{B29B439D-7B30-4DF5-A73E-8604754750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8807450" y="476250"/>
            <a:ext cx="333375" cy="333375"/>
          </a:xfrm>
          <a:prstGeom prst="rect">
            <a:avLst/>
          </a:prstGeom>
        </xdr:spPr>
      </xdr:pic>
      <xdr:pic macro="[0]!동작매크로_미리보기">
        <xdr:nvPicPr>
          <xdr:cNvPr id="60" name="그래픽 59" descr="눈 단색으로 채워진">
            <a:extLst>
              <a:ext uri="{FF2B5EF4-FFF2-40B4-BE49-F238E27FC236}">
                <a16:creationId xmlns:a16="http://schemas.microsoft.com/office/drawing/2014/main" id="{75EC2F07-D4BB-4505-A5E3-2A02FFB19F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8943975" y="619125"/>
            <a:ext cx="228600" cy="22860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875179</xdr:colOff>
      <xdr:row>4</xdr:row>
      <xdr:rowOff>0</xdr:rowOff>
    </xdr:from>
    <xdr:to>
      <xdr:col>8</xdr:col>
      <xdr:colOff>1837204</xdr:colOff>
      <xdr:row>5</xdr:row>
      <xdr:rowOff>57150</xdr:rowOff>
    </xdr:to>
    <xdr:sp macro="" textlink="">
      <xdr:nvSpPr>
        <xdr:cNvPr id="65" name="직사각형 64">
          <a:extLst>
            <a:ext uri="{FF2B5EF4-FFF2-40B4-BE49-F238E27FC236}">
              <a16:creationId xmlns:a16="http://schemas.microsoft.com/office/drawing/2014/main" id="{328B79B4-2393-4451-AB04-7764ECA99BAE}"/>
            </a:ext>
          </a:extLst>
        </xdr:cNvPr>
        <xdr:cNvSpPr>
          <a:spLocks noChangeAspect="1"/>
        </xdr:cNvSpPr>
      </xdr:nvSpPr>
      <xdr:spPr>
        <a:xfrm>
          <a:off x="8496300" y="828675"/>
          <a:ext cx="962025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solidFill>
                <a:schemeClr val="bg1">
                  <a:lumMod val="50000"/>
                </a:schemeClr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미리보기</a:t>
          </a:r>
        </a:p>
      </xdr:txBody>
    </xdr:sp>
    <xdr:clientData/>
  </xdr:twoCellAnchor>
  <xdr:twoCellAnchor editAs="absolute">
    <xdr:from>
      <xdr:col>8</xdr:col>
      <xdr:colOff>1865779</xdr:colOff>
      <xdr:row>4</xdr:row>
      <xdr:rowOff>0</xdr:rowOff>
    </xdr:from>
    <xdr:to>
      <xdr:col>8</xdr:col>
      <xdr:colOff>2827244</xdr:colOff>
      <xdr:row>5</xdr:row>
      <xdr:rowOff>57150</xdr:rowOff>
    </xdr:to>
    <xdr:sp macro="" textlink="">
      <xdr:nvSpPr>
        <xdr:cNvPr id="66" name="직사각형 65">
          <a:extLst>
            <a:ext uri="{FF2B5EF4-FFF2-40B4-BE49-F238E27FC236}">
              <a16:creationId xmlns:a16="http://schemas.microsoft.com/office/drawing/2014/main" id="{A14F46D3-EC57-4752-9920-3C9D731DA6D4}"/>
            </a:ext>
          </a:extLst>
        </xdr:cNvPr>
        <xdr:cNvSpPr>
          <a:spLocks noChangeAspect="1"/>
        </xdr:cNvSpPr>
      </xdr:nvSpPr>
      <xdr:spPr>
        <a:xfrm>
          <a:off x="9486900" y="828675"/>
          <a:ext cx="962025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solidFill>
                <a:schemeClr val="bg1">
                  <a:lumMod val="50000"/>
                </a:schemeClr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내역수정</a:t>
          </a:r>
        </a:p>
      </xdr:txBody>
    </xdr:sp>
    <xdr:clientData/>
  </xdr:twoCellAnchor>
  <xdr:twoCellAnchor editAs="absolute">
    <xdr:from>
      <xdr:col>10</xdr:col>
      <xdr:colOff>265580</xdr:colOff>
      <xdr:row>4</xdr:row>
      <xdr:rowOff>0</xdr:rowOff>
    </xdr:from>
    <xdr:to>
      <xdr:col>11</xdr:col>
      <xdr:colOff>427504</xdr:colOff>
      <xdr:row>5</xdr:row>
      <xdr:rowOff>57150</xdr:rowOff>
    </xdr:to>
    <xdr:sp macro="" textlink="">
      <xdr:nvSpPr>
        <xdr:cNvPr id="67" name="직사각형 66">
          <a:extLst>
            <a:ext uri="{FF2B5EF4-FFF2-40B4-BE49-F238E27FC236}">
              <a16:creationId xmlns:a16="http://schemas.microsoft.com/office/drawing/2014/main" id="{D79D04C6-D467-4146-9B35-7DE94E8C02EF}"/>
            </a:ext>
          </a:extLst>
        </xdr:cNvPr>
        <xdr:cNvSpPr>
          <a:spLocks noChangeAspect="1"/>
        </xdr:cNvSpPr>
      </xdr:nvSpPr>
      <xdr:spPr>
        <a:xfrm>
          <a:off x="11458575" y="828675"/>
          <a:ext cx="962025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>
              <a:solidFill>
                <a:schemeClr val="bg1">
                  <a:lumMod val="50000"/>
                </a:schemeClr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BC</a:t>
          </a:r>
          <a:r>
            <a:rPr lang="ko-KR" altLang="en-US" sz="1000">
              <a:solidFill>
                <a:schemeClr val="bg1">
                  <a:lumMod val="50000"/>
                </a:schemeClr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카드</a:t>
          </a:r>
        </a:p>
      </xdr:txBody>
    </xdr:sp>
    <xdr:clientData/>
  </xdr:twoCellAnchor>
  <xdr:twoCellAnchor>
    <xdr:from>
      <xdr:col>9</xdr:col>
      <xdr:colOff>405637</xdr:colOff>
      <xdr:row>1</xdr:row>
      <xdr:rowOff>190500</xdr:rowOff>
    </xdr:from>
    <xdr:to>
      <xdr:col>10</xdr:col>
      <xdr:colOff>313562</xdr:colOff>
      <xdr:row>4</xdr:row>
      <xdr:rowOff>60325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DBEF760A-8C4F-4FFC-32F7-B20E1F7D1DB4}"/>
            </a:ext>
          </a:extLst>
        </xdr:cNvPr>
        <xdr:cNvGrpSpPr/>
      </xdr:nvGrpSpPr>
      <xdr:grpSpPr>
        <a:xfrm>
          <a:off x="11013872" y="384735"/>
          <a:ext cx="490631" cy="497355"/>
          <a:chOff x="10673587" y="390525"/>
          <a:chExt cx="498475" cy="498475"/>
        </a:xfrm>
      </xdr:grpSpPr>
      <xdr:sp macro="[0]!동작매크로_한도초과승인" textlink="">
        <xdr:nvSpPr>
          <xdr:cNvPr id="70" name="타원 69">
            <a:extLst>
              <a:ext uri="{FF2B5EF4-FFF2-40B4-BE49-F238E27FC236}">
                <a16:creationId xmlns:a16="http://schemas.microsoft.com/office/drawing/2014/main" id="{0748A0AF-E35E-4326-A8AA-C3D351DD4F14}"/>
              </a:ext>
            </a:extLst>
          </xdr:cNvPr>
          <xdr:cNvSpPr/>
        </xdr:nvSpPr>
        <xdr:spPr>
          <a:xfrm>
            <a:off x="10673587" y="390525"/>
            <a:ext cx="498475" cy="498475"/>
          </a:xfrm>
          <a:prstGeom prst="ellipse">
            <a:avLst/>
          </a:prstGeom>
          <a:solidFill>
            <a:schemeClr val="bg1"/>
          </a:solidFill>
          <a:ln>
            <a:solidFill>
              <a:srgbClr val="99CC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동작매크로_한도초과승인">
        <xdr:nvPicPr>
          <xdr:cNvPr id="72" name="그래픽 71" descr="경고 단색으로 채워진">
            <a:extLst>
              <a:ext uri="{FF2B5EF4-FFF2-40B4-BE49-F238E27FC236}">
                <a16:creationId xmlns:a16="http://schemas.microsoft.com/office/drawing/2014/main" id="{7379B59F-17E0-4648-9A8E-BDBD3A3503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10782595" y="466725"/>
            <a:ext cx="304800" cy="304800"/>
          </a:xfrm>
          <a:prstGeom prst="rect">
            <a:avLst/>
          </a:prstGeom>
        </xdr:spPr>
      </xdr:pic>
    </xdr:grpSp>
    <xdr:clientData/>
  </xdr:twoCellAnchor>
  <xdr:twoCellAnchor editAs="absolute">
    <xdr:from>
      <xdr:col>8</xdr:col>
      <xdr:colOff>2846294</xdr:colOff>
      <xdr:row>4</xdr:row>
      <xdr:rowOff>0</xdr:rowOff>
    </xdr:from>
    <xdr:to>
      <xdr:col>10</xdr:col>
      <xdr:colOff>237005</xdr:colOff>
      <xdr:row>5</xdr:row>
      <xdr:rowOff>57150</xdr:rowOff>
    </xdr:to>
    <xdr:sp macro="" textlink="">
      <xdr:nvSpPr>
        <xdr:cNvPr id="74" name="직사각형 73">
          <a:extLst>
            <a:ext uri="{FF2B5EF4-FFF2-40B4-BE49-F238E27FC236}">
              <a16:creationId xmlns:a16="http://schemas.microsoft.com/office/drawing/2014/main" id="{7DB0CB5F-F431-4C0B-A9C3-442EF7D29C39}"/>
            </a:ext>
          </a:extLst>
        </xdr:cNvPr>
        <xdr:cNvSpPr>
          <a:spLocks noChangeAspect="1"/>
        </xdr:cNvSpPr>
      </xdr:nvSpPr>
      <xdr:spPr>
        <a:xfrm>
          <a:off x="10467975" y="828675"/>
          <a:ext cx="962025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solidFill>
                <a:schemeClr val="bg1">
                  <a:lumMod val="50000"/>
                </a:schemeClr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한도초과승인</a:t>
          </a:r>
        </a:p>
      </xdr:txBody>
    </xdr:sp>
    <xdr:clientData/>
  </xdr:twoCellAnchor>
  <xdr:twoCellAnchor editAs="absolute">
    <xdr:from>
      <xdr:col>12</xdr:col>
      <xdr:colOff>189379</xdr:colOff>
      <xdr:row>4</xdr:row>
      <xdr:rowOff>0</xdr:rowOff>
    </xdr:from>
    <xdr:to>
      <xdr:col>12</xdr:col>
      <xdr:colOff>1151404</xdr:colOff>
      <xdr:row>5</xdr:row>
      <xdr:rowOff>57150</xdr:rowOff>
    </xdr:to>
    <xdr:sp macro="" textlink="">
      <xdr:nvSpPr>
        <xdr:cNvPr id="79" name="직사각형 78">
          <a:extLst>
            <a:ext uri="{FF2B5EF4-FFF2-40B4-BE49-F238E27FC236}">
              <a16:creationId xmlns:a16="http://schemas.microsoft.com/office/drawing/2014/main" id="{99411B04-A861-4355-8A14-C5A6DC9853CF}"/>
            </a:ext>
          </a:extLst>
        </xdr:cNvPr>
        <xdr:cNvSpPr>
          <a:spLocks noChangeAspect="1"/>
        </xdr:cNvSpPr>
      </xdr:nvSpPr>
      <xdr:spPr>
        <a:xfrm>
          <a:off x="14020800" y="828675"/>
          <a:ext cx="962025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solidFill>
                <a:schemeClr val="bg1">
                  <a:lumMod val="50000"/>
                </a:schemeClr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청구절차안내</a:t>
          </a:r>
        </a:p>
      </xdr:txBody>
    </xdr:sp>
    <xdr:clientData/>
  </xdr:twoCellAnchor>
  <xdr:twoCellAnchor editAs="absolute">
    <xdr:from>
      <xdr:col>12</xdr:col>
      <xdr:colOff>1151404</xdr:colOff>
      <xdr:row>4</xdr:row>
      <xdr:rowOff>0</xdr:rowOff>
    </xdr:from>
    <xdr:to>
      <xdr:col>13</xdr:col>
      <xdr:colOff>46504</xdr:colOff>
      <xdr:row>5</xdr:row>
      <xdr:rowOff>57150</xdr:rowOff>
    </xdr:to>
    <xdr:sp macro="" textlink="">
      <xdr:nvSpPr>
        <xdr:cNvPr id="80" name="직사각형 79">
          <a:extLst>
            <a:ext uri="{FF2B5EF4-FFF2-40B4-BE49-F238E27FC236}">
              <a16:creationId xmlns:a16="http://schemas.microsoft.com/office/drawing/2014/main" id="{85BB210A-EFFD-4D76-8CA6-40C6438BF195}"/>
            </a:ext>
          </a:extLst>
        </xdr:cNvPr>
        <xdr:cNvSpPr>
          <a:spLocks noChangeAspect="1"/>
        </xdr:cNvSpPr>
      </xdr:nvSpPr>
      <xdr:spPr>
        <a:xfrm>
          <a:off x="14982825" y="828675"/>
          <a:ext cx="962025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solidFill>
                <a:schemeClr val="bg1">
                  <a:lumMod val="50000"/>
                </a:schemeClr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지원내역안내</a:t>
          </a:r>
        </a:p>
      </xdr:txBody>
    </xdr:sp>
    <xdr:clientData/>
  </xdr:twoCellAnchor>
  <xdr:twoCellAnchor editAs="absolute">
    <xdr:from>
      <xdr:col>12</xdr:col>
      <xdr:colOff>351304</xdr:colOff>
      <xdr:row>1</xdr:row>
      <xdr:rowOff>123825</xdr:rowOff>
    </xdr:from>
    <xdr:to>
      <xdr:col>12</xdr:col>
      <xdr:colOff>979954</xdr:colOff>
      <xdr:row>4</xdr:row>
      <xdr:rowOff>123825</xdr:rowOff>
    </xdr:to>
    <xdr:pic macro="[0]!안내모듈2">
      <xdr:nvPicPr>
        <xdr:cNvPr id="83" name="그래픽 82" descr="정보 단색으로 채워진">
          <a:extLst>
            <a:ext uri="{FF2B5EF4-FFF2-40B4-BE49-F238E27FC236}">
              <a16:creationId xmlns:a16="http://schemas.microsoft.com/office/drawing/2014/main" id="{06C94F73-97DE-48F3-AC94-A57DF5001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4182725" y="323850"/>
          <a:ext cx="628650" cy="628650"/>
        </a:xfrm>
        <a:prstGeom prst="rect">
          <a:avLst/>
        </a:prstGeom>
      </xdr:spPr>
    </xdr:pic>
    <xdr:clientData/>
  </xdr:twoCellAnchor>
  <xdr:twoCellAnchor editAs="absolute">
    <xdr:from>
      <xdr:col>12</xdr:col>
      <xdr:colOff>1303804</xdr:colOff>
      <xdr:row>1</xdr:row>
      <xdr:rowOff>123825</xdr:rowOff>
    </xdr:from>
    <xdr:to>
      <xdr:col>12</xdr:col>
      <xdr:colOff>1927411</xdr:colOff>
      <xdr:row>4</xdr:row>
      <xdr:rowOff>123825</xdr:rowOff>
    </xdr:to>
    <xdr:pic macro="[0]!안내모듈3">
      <xdr:nvPicPr>
        <xdr:cNvPr id="88" name="그래픽 87" descr="정보 단색으로 채워진">
          <a:extLst>
            <a:ext uri="{FF2B5EF4-FFF2-40B4-BE49-F238E27FC236}">
              <a16:creationId xmlns:a16="http://schemas.microsoft.com/office/drawing/2014/main" id="{DC184DF7-F7D8-4D52-A2CF-496C6BF9EB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5135225" y="323850"/>
          <a:ext cx="628650" cy="628650"/>
        </a:xfrm>
        <a:prstGeom prst="rect">
          <a:avLst/>
        </a:prstGeom>
      </xdr:spPr>
    </xdr:pic>
    <xdr:clientData/>
  </xdr:twoCellAnchor>
  <xdr:twoCellAnchor editAs="absolute">
    <xdr:from>
      <xdr:col>11</xdr:col>
      <xdr:colOff>1046629</xdr:colOff>
      <xdr:row>4</xdr:row>
      <xdr:rowOff>0</xdr:rowOff>
    </xdr:from>
    <xdr:to>
      <xdr:col>12</xdr:col>
      <xdr:colOff>170329</xdr:colOff>
      <xdr:row>5</xdr:row>
      <xdr:rowOff>57150</xdr:rowOff>
    </xdr:to>
    <xdr:sp macro="" textlink="">
      <xdr:nvSpPr>
        <xdr:cNvPr id="89" name="직사각형 88">
          <a:extLst>
            <a:ext uri="{FF2B5EF4-FFF2-40B4-BE49-F238E27FC236}">
              <a16:creationId xmlns:a16="http://schemas.microsoft.com/office/drawing/2014/main" id="{4A951A65-D7F9-4DED-ABF3-9B7C73FD86A4}"/>
            </a:ext>
          </a:extLst>
        </xdr:cNvPr>
        <xdr:cNvSpPr>
          <a:spLocks noChangeAspect="1"/>
        </xdr:cNvSpPr>
      </xdr:nvSpPr>
      <xdr:spPr>
        <a:xfrm>
          <a:off x="13039725" y="828675"/>
          <a:ext cx="962025" cy="2667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>
              <a:solidFill>
                <a:schemeClr val="bg1">
                  <a:lumMod val="50000"/>
                </a:schemeClr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매크로안내</a:t>
          </a:r>
        </a:p>
      </xdr:txBody>
    </xdr:sp>
    <xdr:clientData/>
  </xdr:twoCellAnchor>
  <xdr:twoCellAnchor editAs="absolute">
    <xdr:from>
      <xdr:col>11</xdr:col>
      <xdr:colOff>1237129</xdr:colOff>
      <xdr:row>1</xdr:row>
      <xdr:rowOff>123825</xdr:rowOff>
    </xdr:from>
    <xdr:to>
      <xdr:col>12</xdr:col>
      <xdr:colOff>27454</xdr:colOff>
      <xdr:row>4</xdr:row>
      <xdr:rowOff>123825</xdr:rowOff>
    </xdr:to>
    <xdr:pic macro="[0]!안내모듈1">
      <xdr:nvPicPr>
        <xdr:cNvPr id="90" name="그래픽 89" descr="정보 단색으로 채워진">
          <a:extLst>
            <a:ext uri="{FF2B5EF4-FFF2-40B4-BE49-F238E27FC236}">
              <a16:creationId xmlns:a16="http://schemas.microsoft.com/office/drawing/2014/main" id="{927BB77A-3B02-42CB-A529-8296EC496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13230225" y="323850"/>
          <a:ext cx="628650" cy="6286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76199</xdr:colOff>
      <xdr:row>0</xdr:row>
      <xdr:rowOff>200025</xdr:rowOff>
    </xdr:from>
    <xdr:to>
      <xdr:col>19</xdr:col>
      <xdr:colOff>466724</xdr:colOff>
      <xdr:row>28</xdr:row>
      <xdr:rowOff>123825</xdr:rowOff>
    </xdr:to>
    <xdr:sp macro="" textlink="">
      <xdr:nvSpPr>
        <xdr:cNvPr id="2" name="직사각형 1">
          <a:extLst>
            <a:ext uri="{FF2B5EF4-FFF2-40B4-BE49-F238E27FC236}">
              <a16:creationId xmlns:a16="http://schemas.microsoft.com/office/drawing/2014/main" id="{8DF0DCAD-759C-44A0-A504-06BA0C3E8BEB}"/>
            </a:ext>
          </a:extLst>
        </xdr:cNvPr>
        <xdr:cNvSpPr/>
      </xdr:nvSpPr>
      <xdr:spPr>
        <a:xfrm>
          <a:off x="8305799" y="200025"/>
          <a:ext cx="5191125" cy="5791200"/>
        </a:xfrm>
        <a:prstGeom prst="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6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버튼이미지</a:t>
          </a:r>
          <a:endParaRPr lang="en-US" altLang="ko-KR" sz="1050" b="1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endParaRPr lang="en-US" altLang="ko-KR" sz="1050" b="1" u="sng">
            <a:solidFill>
              <a:srgbClr val="FF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0</xdr:col>
      <xdr:colOff>200025</xdr:colOff>
      <xdr:row>0</xdr:row>
      <xdr:rowOff>209549</xdr:rowOff>
    </xdr:from>
    <xdr:to>
      <xdr:col>11</xdr:col>
      <xdr:colOff>533399</xdr:colOff>
      <xdr:row>28</xdr:row>
      <xdr:rowOff>133350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75E42D42-B943-4C1A-B486-F0DAB990DDA5}"/>
            </a:ext>
          </a:extLst>
        </xdr:cNvPr>
        <xdr:cNvSpPr/>
      </xdr:nvSpPr>
      <xdr:spPr>
        <a:xfrm>
          <a:off x="200025" y="209549"/>
          <a:ext cx="7877174" cy="5791201"/>
        </a:xfrm>
        <a:prstGeom prst="rect">
          <a:avLst/>
        </a:prstGeom>
        <a:solidFill>
          <a:schemeClr val="bg1"/>
        </a:solidFill>
        <a:ln>
          <a:solidFill>
            <a:srgbClr val="99CC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16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버튼설명</a:t>
          </a:r>
          <a:endParaRPr kumimoji="0" lang="en-US" altLang="ko-KR" sz="16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endParaRPr lang="en-US" altLang="ko-KR" sz="1050" b="1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r>
            <a:rPr lang="en-US" altLang="ko-KR" sz="105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lang="ko-KR" altLang="en-US" sz="105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필수사용버튼</a:t>
          </a:r>
          <a:r>
            <a:rPr lang="en-US" altLang="ko-KR" sz="105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</a:p>
        <a:p>
          <a:pPr algn="l"/>
          <a:r>
            <a:rPr lang="ko-KR" altLang="en-US" sz="105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*필수사용버튼은 </a:t>
          </a:r>
          <a:r>
            <a:rPr lang="en-US" altLang="ko-KR" sz="105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A-&gt;B-&gt;C-&gt;D</a:t>
          </a:r>
          <a:r>
            <a:rPr lang="ko-KR" altLang="en-US" sz="105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의 순서대로 사용하며</a:t>
          </a:r>
          <a:r>
            <a:rPr lang="en-US" altLang="ko-KR" sz="105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5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이전단계를 진행하지 않으면 다음단계로 넘어갈 수 없습니다</a:t>
          </a:r>
          <a:r>
            <a:rPr lang="en-US" altLang="ko-KR" sz="105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algn="l"/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A. 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기초정보입력 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기존내역초기화 및 기초정보입력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부서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이름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 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청구서종류 등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algn="l"/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B. 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매크로검토 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작성시트에 입력한 데이터의 적합성 검증</a:t>
          </a:r>
          <a:endParaRPr lang="en-US" altLang="ko-KR" sz="105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C. 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서명 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청구내역에 이상이 없음을 본인이 검토하였다는 표시 기능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(=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서명대체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algn="l"/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D. 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청구서생성 </a:t>
          </a:r>
          <a:r>
            <a:rPr lang="en-US" altLang="ko-KR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: </a:t>
          </a:r>
          <a:r>
            <a:rPr lang="ko-KR" altLang="en-US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작성시트에 기재한 내역을 기반으로 비용청구서를 생성</a:t>
          </a:r>
          <a:endParaRPr lang="en-US" altLang="ko-KR" sz="1050" baseline="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ko-KR" sz="105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ko-KR" sz="105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kumimoji="0" lang="ko-KR" altLang="en-US" sz="105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부가옵션버튼</a:t>
          </a:r>
          <a:r>
            <a:rPr kumimoji="0" lang="en-US" altLang="ko-KR" sz="105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</a:p>
        <a:p>
          <a:pPr algn="l"/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E. 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미리보기 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비용청구서가 어떻게 작성되었는지 미리 확인해볼 수 있는 기능</a:t>
          </a:r>
          <a:endParaRPr lang="en-US" altLang="ko-KR" sz="105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F. 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내역수정 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검토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(B)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단계 이후</a:t>
          </a:r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작성시트를 다시 수정할 수 있도록 처리하는 기능</a:t>
          </a:r>
          <a:endParaRPr lang="en-US" altLang="ko-KR" sz="105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5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G. </a:t>
          </a:r>
          <a:r>
            <a:rPr lang="ko-KR" altLang="en-US" sz="105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한도초과승인 </a:t>
          </a:r>
          <a:r>
            <a:rPr lang="en-US" altLang="ko-KR" sz="1050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특정항목에 대해 사전에 임원으로부터 한도초과된 청구금액을 구두승인받은 경우</a:t>
          </a:r>
          <a:r>
            <a:rPr kumimoji="0" lang="ko-KR" alt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예외처리</a:t>
          </a:r>
          <a:r>
            <a:rPr kumimoji="0" lang="ko-KR" altLang="en-US" sz="105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kumimoji="0" lang="en-US" altLang="ko-KR" sz="105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kumimoji="0" lang="ko-KR" altLang="en-US" sz="105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잘못체크할 시 반려처리됨</a:t>
          </a:r>
          <a:r>
            <a:rPr kumimoji="0" lang="en-US" altLang="ko-KR" sz="105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ko-KR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H. BC</a:t>
          </a:r>
          <a:r>
            <a:rPr kumimoji="0" lang="ko-KR" alt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카드 </a:t>
          </a:r>
          <a:r>
            <a:rPr kumimoji="0" lang="en-US" altLang="ko-KR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BC</a:t>
          </a:r>
          <a:r>
            <a:rPr kumimoji="0" lang="ko-KR" alt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카드기업 홈페이지로 이동 </a:t>
          </a:r>
          <a:r>
            <a:rPr kumimoji="0" lang="en-US" altLang="ko-KR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(</a:t>
          </a:r>
          <a:r>
            <a:rPr kumimoji="0" lang="ko-KR" altLang="en-US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개인형법인카드사용자용</a:t>
          </a:r>
          <a:r>
            <a:rPr kumimoji="0" lang="en-US" altLang="ko-KR" sz="105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)</a:t>
          </a:r>
        </a:p>
        <a:p>
          <a:pPr algn="l"/>
          <a:r>
            <a:rPr kumimoji="0" lang="en-US" altLang="ko-KR" sz="105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*F</a:t>
          </a:r>
          <a:r>
            <a:rPr kumimoji="0" lang="ko-KR" altLang="en-US" sz="105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버튼 사용 후에는 </a:t>
          </a:r>
          <a:r>
            <a:rPr kumimoji="0" lang="en-US" altLang="ko-KR" sz="105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</a:t>
          </a:r>
          <a:r>
            <a:rPr kumimoji="0" lang="ko-KR" altLang="en-US" sz="105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단계부터 다시 진행하여야 합니다</a:t>
          </a:r>
          <a:r>
            <a:rPr kumimoji="0" lang="en-US" altLang="ko-KR" sz="105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algn="l"/>
          <a:r>
            <a:rPr kumimoji="0" lang="en-US" altLang="ko-KR" sz="105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*G</a:t>
          </a:r>
          <a:r>
            <a:rPr kumimoji="0" lang="ko-KR" altLang="en-US" sz="105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버튼은 청구내역을 작성한 후 </a:t>
          </a:r>
          <a:r>
            <a:rPr kumimoji="0" lang="en-US" altLang="ko-KR" sz="105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B</a:t>
          </a:r>
          <a:r>
            <a:rPr kumimoji="0" lang="ko-KR" altLang="en-US" sz="105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단계 이전에 사용합니다</a:t>
          </a:r>
          <a:r>
            <a:rPr kumimoji="0" lang="en-US" altLang="ko-KR" sz="105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.</a:t>
          </a:r>
        </a:p>
        <a:p>
          <a:pPr algn="l"/>
          <a:endParaRPr kumimoji="0" lang="en-US" altLang="ko-KR" sz="105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r>
            <a:rPr kumimoji="0" lang="en-US" altLang="ko-KR" sz="105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&lt;</a:t>
          </a:r>
          <a:r>
            <a:rPr kumimoji="0" lang="ko-KR" altLang="en-US" sz="105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안내</a:t>
          </a:r>
          <a:r>
            <a:rPr kumimoji="0" lang="en-US" altLang="ko-KR" sz="105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&gt;</a:t>
          </a:r>
          <a:endParaRPr lang="en-US" altLang="ko-KR" sz="1050" b="1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r>
            <a:rPr lang="en-US" altLang="ko-KR" sz="105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I.</a:t>
          </a:r>
          <a:r>
            <a:rPr lang="en-US" altLang="ko-KR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</a:t>
          </a:r>
          <a:r>
            <a:rPr lang="ko-KR" altLang="en-US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매크로안내</a:t>
          </a:r>
          <a:r>
            <a:rPr lang="en-US" altLang="ko-KR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: </a:t>
          </a:r>
          <a:r>
            <a:rPr lang="ko-KR" altLang="en-US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매크로버튼 기능안내 및 사용방법안내문 보기</a:t>
          </a:r>
          <a:endParaRPr lang="en-US" altLang="ko-KR" sz="1050" baseline="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r>
            <a:rPr lang="en-US" altLang="ko-KR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J. </a:t>
          </a:r>
          <a:r>
            <a:rPr lang="ko-KR" altLang="en-US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청구절차안내</a:t>
          </a:r>
          <a:r>
            <a:rPr lang="en-US" altLang="ko-KR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: </a:t>
          </a:r>
          <a:r>
            <a:rPr lang="ko-KR" altLang="en-US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비용청구절차안내문 보기</a:t>
          </a:r>
          <a:endParaRPr lang="en-US" altLang="ko-KR" sz="1050" baseline="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  <a:p>
          <a:pPr algn="l"/>
          <a:r>
            <a:rPr lang="en-US" altLang="ko-KR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K. </a:t>
          </a:r>
          <a:r>
            <a:rPr lang="ko-KR" altLang="en-US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지원내역안내 </a:t>
          </a:r>
          <a:r>
            <a:rPr lang="en-US" altLang="ko-KR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: </a:t>
          </a:r>
          <a:r>
            <a:rPr lang="ko-KR" altLang="en-US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비용지원항목</a:t>
          </a:r>
          <a:r>
            <a:rPr lang="en-US" altLang="ko-KR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,</a:t>
          </a:r>
          <a:r>
            <a:rPr lang="ko-KR" altLang="en-US" sz="105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 지원범위 및 목적별작성요령 안내문 보기</a:t>
          </a:r>
          <a:endParaRPr lang="en-US" altLang="ko-KR" sz="1050" baseline="0">
            <a:solidFill>
              <a:sysClr val="windowText" lastClr="000000"/>
            </a:solidFill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 editAs="oneCell">
    <xdr:from>
      <xdr:col>12</xdr:col>
      <xdr:colOff>457200</xdr:colOff>
      <xdr:row>4</xdr:row>
      <xdr:rowOff>142875</xdr:rowOff>
    </xdr:from>
    <xdr:to>
      <xdr:col>19</xdr:col>
      <xdr:colOff>94695</xdr:colOff>
      <xdr:row>10</xdr:row>
      <xdr:rowOff>57004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618409E-8150-42A1-9F4A-C6648E027A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86800" y="981075"/>
          <a:ext cx="4438095" cy="1171429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571500</xdr:colOff>
      <xdr:row>12</xdr:row>
      <xdr:rowOff>76200</xdr:rowOff>
    </xdr:from>
    <xdr:to>
      <xdr:col>18</xdr:col>
      <xdr:colOff>675748</xdr:colOff>
      <xdr:row>18</xdr:row>
      <xdr:rowOff>28424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E755F59-FA67-43CA-941C-3B4343D95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01100" y="2590800"/>
          <a:ext cx="4219048" cy="1209524"/>
        </a:xfrm>
        <a:prstGeom prst="rect">
          <a:avLst/>
        </a:prstGeom>
      </xdr:spPr>
    </xdr:pic>
    <xdr:clientData/>
  </xdr:twoCellAnchor>
  <xdr:twoCellAnchor editAs="oneCell">
    <xdr:from>
      <xdr:col>12</xdr:col>
      <xdr:colOff>561975</xdr:colOff>
      <xdr:row>20</xdr:row>
      <xdr:rowOff>19050</xdr:rowOff>
    </xdr:from>
    <xdr:to>
      <xdr:col>19</xdr:col>
      <xdr:colOff>18518</xdr:colOff>
      <xdr:row>25</xdr:row>
      <xdr:rowOff>190348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FFB6A76B-EC2F-491E-A541-138B053EE5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791575" y="4210050"/>
          <a:ext cx="4257143" cy="12190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2</xdr:row>
      <xdr:rowOff>33618</xdr:rowOff>
    </xdr:from>
    <xdr:to>
      <xdr:col>36</xdr:col>
      <xdr:colOff>538440</xdr:colOff>
      <xdr:row>89</xdr:row>
      <xdr:rowOff>56030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2B6FE55D-1D43-4183-B5F9-D1D47C1AB49D}"/>
            </a:ext>
          </a:extLst>
        </xdr:cNvPr>
        <xdr:cNvGrpSpPr/>
      </xdr:nvGrpSpPr>
      <xdr:grpSpPr>
        <a:xfrm>
          <a:off x="180975" y="451971"/>
          <a:ext cx="24562171" cy="18220765"/>
          <a:chOff x="180975" y="190500"/>
          <a:chExt cx="24965583" cy="18545735"/>
        </a:xfrm>
      </xdr:grpSpPr>
      <xdr:sp macro="" textlink="">
        <xdr:nvSpPr>
          <xdr:cNvPr id="3" name="직사각형 2">
            <a:extLst>
              <a:ext uri="{FF2B5EF4-FFF2-40B4-BE49-F238E27FC236}">
                <a16:creationId xmlns:a16="http://schemas.microsoft.com/office/drawing/2014/main" id="{31149D86-E95A-4D0C-A8A0-6E8D8AEECC0A}"/>
              </a:ext>
            </a:extLst>
          </xdr:cNvPr>
          <xdr:cNvSpPr/>
        </xdr:nvSpPr>
        <xdr:spPr>
          <a:xfrm>
            <a:off x="180975" y="200025"/>
            <a:ext cx="8136031" cy="11614897"/>
          </a:xfrm>
          <a:prstGeom prst="rect">
            <a:avLst/>
          </a:prstGeom>
          <a:solidFill>
            <a:sysClr val="window" lastClr="FFFFFF"/>
          </a:solidFill>
          <a:ln w="28575">
            <a:solidFill>
              <a:srgbClr val="CCCC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4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비용청구 절차안내</a:t>
            </a:r>
            <a:r>
              <a:rPr lang="en-US" altLang="ko-KR" sz="14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4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일반</a:t>
            </a:r>
            <a:r>
              <a:rPr lang="en-US" altLang="ko-KR" sz="14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  <a:p>
            <a:pPr algn="ctr"/>
            <a:endParaRPr lang="en-US" altLang="ko-KR" sz="14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-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기본안내</a:t>
            </a:r>
            <a:endParaRPr lang="en-US" altLang="ko-KR" sz="14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ko-KR" altLang="en-US" sz="1000" b="1" u="sng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비용청구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회사업무로 인해 발생한 비용에 대해 개인이 먼저 지불하고 사후에 회사로 대금을 청구</a:t>
            </a:r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ko-KR" altLang="en-US" sz="1000" b="1" u="sng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청구대상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개인카드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현금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계좌이체포함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)(=&gt;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개인현금영수증불가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  <a:p>
            <a:pPr algn="l"/>
            <a:r>
              <a:rPr lang="ko-KR" altLang="en-US" sz="1000" b="1" u="sng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신청주기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회</a:t>
            </a:r>
            <a:endParaRPr lang="en-US" altLang="ko-KR" sz="100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ko-KR" altLang="en-US" sz="1000" b="1" u="sng" baseline="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신청마감일</a:t>
            </a:r>
            <a:r>
              <a:rPr lang="ko-KR" altLang="en-US" sz="1000" baseline="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</a:t>
            </a:r>
            <a:r>
              <a:rPr lang="en-US" altLang="ko-KR" sz="1000" baseline="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10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매월</a:t>
            </a:r>
            <a:r>
              <a:rPr lang="en-US" altLang="ko-KR" sz="10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10</a:t>
            </a:r>
            <a:r>
              <a:rPr lang="ko-KR" altLang="en-US" sz="10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마감 </a:t>
            </a:r>
            <a:r>
              <a:rPr lang="en-US" altLang="ko-KR" sz="10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0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마감일이 휴일인경우 전일마감</a:t>
            </a:r>
            <a:r>
              <a:rPr lang="en-US" altLang="ko-KR" sz="10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  <a:p>
            <a:pPr algn="l"/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*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단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전년도사용분은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주차에 청구마감</a:t>
            </a:r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-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청구절차</a:t>
            </a:r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1. </a:t>
            </a:r>
            <a:r>
              <a:rPr lang="ko-KR" altLang="en-US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비용청구서작성</a:t>
            </a:r>
            <a:endParaRPr lang="en-US" altLang="ko-KR" sz="10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ko-KR" altLang="en-US" sz="1000" b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사용한 영수증을 참고하여 비용청구서 양식의 필수</a:t>
            </a:r>
            <a:r>
              <a:rPr lang="en-US" altLang="ko-KR" sz="1000" b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1000" b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추가항목을 작성하고</a:t>
            </a:r>
            <a:r>
              <a:rPr lang="ko-KR" altLang="en-US" sz="1000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매크로검토</a:t>
            </a:r>
            <a:r>
              <a:rPr lang="en-US" altLang="ko-KR" sz="1000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1000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서명</a:t>
            </a:r>
            <a:r>
              <a:rPr lang="en-US" altLang="ko-KR" sz="1000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1000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청구서생성단계 진행</a:t>
            </a:r>
            <a:endParaRPr lang="en-US" altLang="ko-KR" sz="1000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*유류비 및 후불교통카드사용내역은 교통비상세시트도 작성합니다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rgbClr val="0000FF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*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rgbClr val="0000FF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자주묻는 질문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rgbClr val="0000FF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(FAQ)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rgbClr val="0000FF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은 셀 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rgbClr val="0000FF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A60~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rgbClr val="0000FF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참조</a:t>
            </a:r>
            <a:endParaRPr kumimoji="0" lang="en-US" altLang="ko-KR" sz="1000" b="1" i="0" u="none" strike="noStrike" kern="0" cap="none" spc="0" normalizeH="0" baseline="0" noProof="0">
              <a:ln>
                <a:noFill/>
              </a:ln>
              <a:solidFill>
                <a:srgbClr val="0000FF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2.</a:t>
            </a:r>
            <a:r>
              <a:rPr lang="en-US" altLang="ko-KR" sz="1000" b="1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</a:t>
            </a:r>
            <a:r>
              <a:rPr lang="ko-KR" altLang="en-US" sz="1000" b="1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내부결재</a:t>
            </a:r>
            <a:r>
              <a:rPr lang="en-US" altLang="ko-KR" sz="1000" b="1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000" b="1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</a:t>
            </a:r>
            <a:r>
              <a:rPr lang="en-US" altLang="ko-KR" sz="1000" b="1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  <a:p>
            <a:pPr algn="l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생성된 비용청구서를 팀장에게 메일에 첨부하여 승인요청</a:t>
            </a:r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파일명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비용청구서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_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이름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_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작성일</a:t>
            </a:r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3. </a:t>
            </a:r>
            <a:r>
              <a:rPr lang="ko-KR" altLang="en-US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영수증부착 및 제출</a:t>
            </a:r>
            <a:endParaRPr lang="en-US" altLang="ko-KR" sz="10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팀장승인이 완료되면 비용청구서를 출력하고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하단의 영수증부착방법을 참고하여 청구서 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뒷면에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영수증을 풀로 부착한 후 회계담당자에게 제출</a:t>
            </a:r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*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영수증은 결제일시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거래처정보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거래내역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결제금액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결제수단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등의 정보가 포함되어야 합니다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</a:t>
            </a:r>
          </a:p>
          <a:p>
            <a:pPr algn="l"/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*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가독성이 떨어지는 영수증은 재출력 해주세요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깨진글씨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작은글씨 등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  <a:p>
            <a:pPr algn="l"/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4. </a:t>
            </a:r>
            <a:r>
              <a:rPr lang="ko-KR" altLang="en-US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회계처리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경영지원팀 검토 및 비용처리</a:t>
            </a:r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5. </a:t>
            </a:r>
            <a:r>
              <a:rPr lang="ko-KR" altLang="en-US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비용지급 </a:t>
            </a:r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경영진 확인되면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20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일괄지급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휴일인경우 전일지급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4" name="직사각형 3">
            <a:extLst>
              <a:ext uri="{FF2B5EF4-FFF2-40B4-BE49-F238E27FC236}">
                <a16:creationId xmlns:a16="http://schemas.microsoft.com/office/drawing/2014/main" id="{82A7DABD-1A56-4C1A-B9A7-36C15ADD6F0C}"/>
              </a:ext>
            </a:extLst>
          </xdr:cNvPr>
          <xdr:cNvSpPr/>
        </xdr:nvSpPr>
        <xdr:spPr>
          <a:xfrm>
            <a:off x="8669431" y="190500"/>
            <a:ext cx="8269381" cy="11631705"/>
          </a:xfrm>
          <a:prstGeom prst="rect">
            <a:avLst/>
          </a:prstGeom>
          <a:solidFill>
            <a:sysClr val="window" lastClr="FFFFFF"/>
          </a:solidFill>
          <a:ln w="28575">
            <a:solidFill>
              <a:srgbClr val="CCCC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ko-KR" altLang="en-US" sz="14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비용청구 절차안내</a:t>
            </a:r>
            <a:r>
              <a:rPr lang="en-US" altLang="ko-KR" sz="14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4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개인형법인카드</a:t>
            </a:r>
            <a:r>
              <a:rPr lang="en-US" altLang="ko-KR" sz="14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*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개인형법인카드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이하 법인카드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란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? 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사용한 카드사용대금을 법인계좌가 아닌 개인계좌에서 출금할 수 있도록 하는 법인카드</a:t>
            </a:r>
            <a:endParaRPr kumimoji="0" lang="en-US" altLang="ko-K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endParaRPr lang="en-US" altLang="ko-KR" sz="14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-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기본안내</a:t>
            </a:r>
            <a:endParaRPr lang="en-US" altLang="ko-KR" sz="14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ko-KR" altLang="en-US" sz="1000" b="1" u="sng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비용청구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회사업무로 인해 발생한 비용에 대해 개인이 먼저 지불하고 사후에 회사로 대금을 청구</a:t>
            </a:r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ko-KR" altLang="en-US" sz="1000" b="1" u="sng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청구대상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개인형법인카드 사용 분</a:t>
            </a:r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ko-KR" altLang="en-US" sz="1000" b="1" u="sng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신청주기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회</a:t>
            </a:r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신청마감일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10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매월</a:t>
            </a:r>
            <a:r>
              <a:rPr lang="en-US" altLang="ko-KR" sz="10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10</a:t>
            </a:r>
            <a:r>
              <a:rPr lang="ko-KR" altLang="en-US" sz="10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 마감 </a:t>
            </a:r>
            <a:r>
              <a:rPr lang="en-US" altLang="ko-KR" sz="10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0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마감일이 휴일인경우 전일마감</a:t>
            </a:r>
            <a:r>
              <a:rPr lang="en-US" altLang="ko-KR" sz="100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kumimoji="0" lang="en-US" altLang="ko-KR" sz="1000" b="1" i="0" u="sng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**</a:t>
            </a:r>
            <a:r>
              <a:rPr kumimoji="0" lang="ko-KR" altLang="en-US" sz="1000" b="1" i="0" u="sng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개인형법인카드는 분기별 부가세신고를 위해 </a:t>
            </a:r>
            <a:r>
              <a:rPr kumimoji="0" lang="ko-KR" altLang="ko-KR" sz="1000" b="1" i="0" u="sng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익월</a:t>
            </a:r>
            <a:r>
              <a:rPr kumimoji="0" lang="en-US" altLang="ko-KR" sz="1000" b="1" i="0" u="sng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10</a:t>
            </a:r>
            <a:r>
              <a:rPr kumimoji="0" lang="ko-KR" altLang="ko-KR" sz="1000" b="1" i="0" u="sng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일까지</a:t>
            </a:r>
            <a:r>
              <a:rPr kumimoji="0" lang="ko-KR" altLang="en-US" sz="1000" b="1" i="0" u="sng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는</a:t>
            </a:r>
            <a:r>
              <a:rPr kumimoji="0" lang="ko-KR" altLang="ko-KR" sz="1000" b="1" i="0" u="sng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</a:t>
            </a:r>
            <a:r>
              <a:rPr kumimoji="0" lang="ko-KR" altLang="en-US" sz="1000" b="1" i="0" u="sng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필수제출</a:t>
            </a:r>
            <a:endParaRPr kumimoji="0" lang="en-US" altLang="ko-KR" sz="1000" b="1" i="0" u="sng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kumimoji="0" lang="en-US" altLang="ko-KR" sz="1000" b="1" i="0" u="sng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kumimoji="0" lang="ko-KR" altLang="en-US" sz="1000" b="1" i="0" u="sng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예</a:t>
            </a:r>
            <a:r>
              <a:rPr kumimoji="0" lang="en-US" altLang="ko-KR" sz="1000" b="1" i="0" u="sng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_1~3</a:t>
            </a:r>
            <a:r>
              <a:rPr kumimoji="0" lang="ko-KR" altLang="en-US" sz="1000" b="1" i="0" u="sng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  <a:r>
              <a:rPr kumimoji="0" lang="en-US" altLang="ko-KR" sz="1000" b="1" i="0" u="sng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(1</a:t>
            </a:r>
            <a:r>
              <a:rPr kumimoji="0" lang="ko-KR" altLang="en-US" sz="1000" b="1" i="0" u="sng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분기</a:t>
            </a:r>
            <a:r>
              <a:rPr kumimoji="0" lang="en-US" altLang="ko-KR" sz="1000" b="1" i="0" u="sng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kumimoji="0" lang="ko-KR" altLang="en-US" sz="1000" b="1" i="0" u="sng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에 사용한 내역은 늦어도 </a:t>
            </a:r>
            <a:r>
              <a:rPr kumimoji="0" lang="en-US" altLang="ko-KR" sz="1000" b="1" i="0" u="sng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</a:t>
            </a:r>
            <a:r>
              <a:rPr kumimoji="0" lang="ko-KR" altLang="en-US" sz="1000" b="1" i="0" u="sng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</a:t>
            </a:r>
            <a:r>
              <a:rPr kumimoji="0" lang="en-US" altLang="ko-KR" sz="1000" b="1" i="0" u="sng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10</a:t>
            </a:r>
            <a:r>
              <a:rPr kumimoji="0" lang="ko-KR" altLang="en-US" sz="1000" b="1" i="0" u="sng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일까지는 승인받아야함</a:t>
            </a:r>
            <a:r>
              <a:rPr kumimoji="0" lang="en-US" altLang="ko-KR" sz="1000" b="1" i="0" u="sng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-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청구절차</a:t>
            </a:r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1. </a:t>
            </a:r>
            <a:r>
              <a:rPr lang="ko-KR" altLang="en-US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비용청구서작성 </a:t>
            </a:r>
            <a:r>
              <a:rPr lang="en-US" altLang="ko-KR" sz="1000" b="1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000" b="1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대금</a:t>
            </a:r>
            <a:r>
              <a:rPr lang="ko-KR" altLang="en-US" sz="1000" b="1" baseline="0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명세서 기준으로 월별로 </a:t>
            </a:r>
            <a:r>
              <a:rPr lang="ko-KR" altLang="en-US" sz="1000" b="1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각각 작성</a:t>
            </a:r>
            <a:r>
              <a:rPr lang="en-US" altLang="ko-KR" sz="1000" b="1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1000" b="1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합산청구불가</a:t>
            </a:r>
            <a:r>
              <a:rPr lang="en-US" altLang="ko-KR" sz="1000" b="1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  <a:p>
            <a:pPr algn="l"/>
            <a:r>
              <a:rPr lang="en-US" altLang="ko-KR" sz="1000" b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- </a:t>
            </a:r>
            <a:r>
              <a:rPr lang="ko-KR" altLang="en-US" sz="1000" b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기업</a:t>
            </a:r>
            <a:r>
              <a:rPr lang="en-US" altLang="ko-KR" sz="1000" b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BC</a:t>
            </a:r>
            <a:r>
              <a:rPr lang="ko-KR" altLang="en-US" sz="1000" b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카드홈페이지의 청구명세서를 참고하여 비용청구서 양식의 필수</a:t>
            </a:r>
            <a:r>
              <a:rPr lang="en-US" altLang="ko-KR" sz="1000" b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1000" b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추가항목을 작성 후 매크로검토</a:t>
            </a:r>
            <a:r>
              <a:rPr lang="en-US" altLang="ko-KR" sz="1000" b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</a:t>
            </a:r>
            <a:r>
              <a:rPr lang="ko-KR" altLang="en-US" sz="1000" b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서명</a:t>
            </a:r>
            <a:r>
              <a:rPr lang="en-US" altLang="ko-KR" sz="1000" b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</a:t>
            </a:r>
            <a:r>
              <a:rPr lang="ko-KR" altLang="en-US" sz="1000" b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청구서생성단계 진행</a:t>
            </a:r>
            <a:endParaRPr lang="en-US" altLang="ko-KR" sz="10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 *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주의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!!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카드명세서상 모든내역을 청구서에 기재하여야 함 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만약 청구서의 영수총액과 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BC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카드 명세서 총액이 동일하지 않으면 반려처리됨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 </a:t>
            </a:r>
            <a:r>
              <a:rPr kumimoji="0" lang="ko-KR" altLang="en-US" sz="1000" b="0" i="0" u="sng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개인사용 등으로 인해 청구하지 않을 항목은 영수내역을 삭제하지말고 목적을 </a:t>
            </a:r>
            <a:r>
              <a:rPr kumimoji="0" lang="en-US" altLang="ko-KR" sz="1000" b="0" i="0" u="sng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'</a:t>
            </a:r>
            <a:r>
              <a:rPr kumimoji="0" lang="ko-KR" altLang="en-US" sz="1000" b="0" i="0" u="sng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청구제외건</a:t>
            </a:r>
            <a:r>
              <a:rPr kumimoji="0" lang="en-US" altLang="ko-KR" sz="1000" b="0" i="0" u="sng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'</a:t>
            </a:r>
            <a:r>
              <a:rPr kumimoji="0" lang="ko-KR" altLang="en-US" sz="1000" b="0" i="0" u="sng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으로 기재 후 청구금액에 </a:t>
            </a:r>
            <a:r>
              <a:rPr kumimoji="0" lang="en-US" altLang="ko-KR" sz="1000" b="0" i="0" u="sng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'0</a:t>
            </a:r>
            <a:r>
              <a:rPr kumimoji="0" lang="ko-KR" altLang="en-US" sz="1000" b="0" i="0" u="sng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</a:t>
            </a:r>
            <a:r>
              <a:rPr kumimoji="0" lang="en-US" altLang="ko-KR" sz="1000" b="0" i="0" u="sng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'</a:t>
            </a:r>
            <a:r>
              <a:rPr kumimoji="0" lang="ko-KR" altLang="en-US" sz="1000" b="0" i="0" u="sng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으로 입력</a:t>
            </a:r>
          </a:p>
          <a:p>
            <a:pPr algn="l"/>
            <a:r>
              <a:rPr lang="ko-KR" altLang="en-US" sz="1000" b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 *법인카드 사용내역 확인 및 다운로드방법은 우측의 </a:t>
            </a:r>
            <a:r>
              <a:rPr lang="en-US" altLang="ko-KR" sz="1000" b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'</a:t>
            </a:r>
            <a:r>
              <a:rPr lang="ko-KR" altLang="en-US" sz="1000" b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명세서다운로드방법</a:t>
            </a:r>
            <a:r>
              <a:rPr lang="en-US" altLang="ko-KR" sz="1000" b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'</a:t>
            </a:r>
            <a:r>
              <a:rPr lang="ko-KR" altLang="en-US" sz="1000" b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자료 참고</a:t>
            </a:r>
            <a:endParaRPr lang="en-US" altLang="ko-KR" sz="1000" b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 *유류비 및 후불교통카드청구내역은 별도 시트에 상세내역을 작성하여야 합니다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</a:t>
            </a:r>
          </a:p>
          <a:p>
            <a:pPr algn="l"/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2.</a:t>
            </a:r>
            <a:r>
              <a:rPr lang="en-US" altLang="ko-KR" sz="1000" b="1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</a:t>
            </a:r>
            <a:r>
              <a:rPr lang="ko-KR" altLang="en-US" sz="1000" b="1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내부결재</a:t>
            </a:r>
            <a:r>
              <a:rPr lang="en-US" altLang="ko-KR" sz="1000" b="1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000" b="1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승인</a:t>
            </a:r>
            <a:r>
              <a:rPr lang="en-US" altLang="ko-KR" sz="1000" b="1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  <a:p>
            <a:pPr algn="l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생성된 비용청구서를 팀장에게 메일에 첨부하여 승인요청</a:t>
            </a:r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파일명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비용청구서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_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이름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_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작성일</a:t>
            </a:r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1000" b="1" strike="sngStrike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3. </a:t>
            </a:r>
            <a:r>
              <a:rPr lang="ko-KR" altLang="en-US" sz="1000" b="1" strike="sngStrike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영수증부착</a:t>
            </a:r>
            <a:r>
              <a:rPr lang="en-US" altLang="ko-KR" sz="1000" b="1" strike="noStrike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000" b="1" strike="noStrike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생략</a:t>
            </a:r>
            <a:r>
              <a:rPr lang="en-US" altLang="ko-KR" sz="1000" b="1" strike="noStrike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ko-KR" altLang="en-US" sz="1000" b="1" strike="noStrike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및 제출</a:t>
            </a:r>
            <a:endParaRPr lang="en-US" altLang="ko-KR" sz="1000" b="1" strike="noStrike" baseline="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'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개인형법인카드사용내역만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'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작성하여 청구한 경우에는 영수증은 제출하지 않음</a:t>
            </a:r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4. </a:t>
            </a:r>
            <a:r>
              <a:rPr lang="ko-KR" altLang="en-US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회계처리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경영지원팀 검토 및 비용처리</a:t>
            </a:r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5. </a:t>
            </a:r>
            <a:r>
              <a:rPr lang="ko-KR" altLang="en-US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비용지급 </a:t>
            </a:r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경영진 확인되면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20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일에 비용 일괄지급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휴일인경우 전일지급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개인형법인카드는 직책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외근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연간청구량 등을 반영하여 매년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1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월에 대상자가 추가선정될 예정입니다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</a:t>
            </a:r>
          </a:p>
        </xdr:txBody>
      </xdr:sp>
      <xdr:sp macro="" textlink="">
        <xdr:nvSpPr>
          <xdr:cNvPr id="5" name="직사각형 4">
            <a:extLst>
              <a:ext uri="{FF2B5EF4-FFF2-40B4-BE49-F238E27FC236}">
                <a16:creationId xmlns:a16="http://schemas.microsoft.com/office/drawing/2014/main" id="{7EB1D96F-B72C-4980-ABBC-286301E1392F}"/>
              </a:ext>
            </a:extLst>
          </xdr:cNvPr>
          <xdr:cNvSpPr/>
        </xdr:nvSpPr>
        <xdr:spPr>
          <a:xfrm>
            <a:off x="17258177" y="194422"/>
            <a:ext cx="7888381" cy="10002932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개인형법인카드명세서 확인 및 다운로드방법</a:t>
            </a:r>
            <a:endParaRPr lang="en-US" altLang="ko-KR" sz="1400" b="1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법인카드 사용내역 다운로드 </a:t>
            </a:r>
            <a:r>
              <a:rPr kumimoji="0" lang="en-US" altLang="ko-K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기업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BC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카드홈페이지에 접속하여 당월 청구건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전월사용분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의 사용내역을 엑셀형식으로 다운로드</a:t>
            </a:r>
            <a:endParaRPr kumimoji="0" lang="en-US" altLang="ko-KR" sz="10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    *BC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카드홈페이지 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https://wisebiz.bccard.com/app/corp/Intro.corp</a:t>
            </a: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     *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다운로드방법 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: 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지정카드사용자로 로그인 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-&gt; 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카드이용조회 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-&gt; 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청구명세서조회 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-&gt; 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결제월 선택 후 조회 </a:t>
            </a: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-&gt; 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부서코드 선택 후 하단의 엑셀 버튼 클릭</a:t>
            </a:r>
            <a:endParaRPr kumimoji="0" lang="en-US" altLang="ko-K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en-US" altLang="ko-K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US" altLang="ko-K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-</a:t>
            </a: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상세설명이미지</a:t>
            </a:r>
            <a:endParaRPr kumimoji="0" lang="en-US" altLang="ko-K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이미지가 잘 안보이는 경우 페이지를 확대하세요</a:t>
            </a:r>
            <a:endParaRPr lang="en-US" altLang="ko-KR" sz="1050" b="1" u="sng">
              <a:solidFill>
                <a:srgbClr val="FF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grpSp>
        <xdr:nvGrpSpPr>
          <xdr:cNvPr id="6" name="그룹 5">
            <a:extLst>
              <a:ext uri="{FF2B5EF4-FFF2-40B4-BE49-F238E27FC236}">
                <a16:creationId xmlns:a16="http://schemas.microsoft.com/office/drawing/2014/main" id="{FF57F668-06EA-4AE6-9960-C5DD16B03965}"/>
              </a:ext>
            </a:extLst>
          </xdr:cNvPr>
          <xdr:cNvGrpSpPr/>
        </xdr:nvGrpSpPr>
        <xdr:grpSpPr>
          <a:xfrm>
            <a:off x="266700" y="6425453"/>
            <a:ext cx="6921313" cy="4896971"/>
            <a:chOff x="7019925" y="6019800"/>
            <a:chExt cx="6943725" cy="4819650"/>
          </a:xfrm>
        </xdr:grpSpPr>
        <xdr:sp macro="" textlink="">
          <xdr:nvSpPr>
            <xdr:cNvPr id="17" name="직사각형 16">
              <a:extLst>
                <a:ext uri="{FF2B5EF4-FFF2-40B4-BE49-F238E27FC236}">
                  <a16:creationId xmlns:a16="http://schemas.microsoft.com/office/drawing/2014/main" id="{89A3B60C-23F1-400C-B927-08F6ACA32068}"/>
                </a:ext>
              </a:extLst>
            </xdr:cNvPr>
            <xdr:cNvSpPr/>
          </xdr:nvSpPr>
          <xdr:spPr>
            <a:xfrm>
              <a:off x="7019925" y="6019800"/>
              <a:ext cx="6943725" cy="4819650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ko-KR" altLang="en-US" sz="1600" b="1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영수증부착방법</a:t>
              </a:r>
              <a:endParaRPr kumimoji="0" lang="en-US" altLang="ko-KR" sz="16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US" altLang="ko-KR" sz="1050" b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1050" b="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1. </a:t>
              </a:r>
              <a:r>
                <a:rPr lang="ko-KR" altLang="en-US" sz="1050" b="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청구내역에 </a:t>
              </a:r>
              <a:r>
                <a:rPr lang="en-US" altLang="ko-KR" sz="1050" b="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1</a:t>
              </a:r>
              <a:r>
                <a:rPr lang="ko-KR" altLang="en-US" sz="1050" b="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번으로 작성한 영수증을 풀을 사용하여 비용청구서 뒷면의 좌측상단에 붙입니다</a:t>
              </a:r>
              <a:r>
                <a:rPr lang="en-US" altLang="ko-KR" sz="1050" b="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1050" b="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2. 2</a:t>
              </a:r>
              <a:r>
                <a:rPr lang="ko-KR" altLang="en-US" sz="1050" b="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번내역부터는 아래기재된 부착진행방향에 따라 하나씩 차례대로 붙입니다</a:t>
              </a:r>
              <a:r>
                <a:rPr lang="en-US" altLang="ko-KR" sz="1050" b="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. (</a:t>
              </a:r>
              <a:r>
                <a:rPr lang="ko-KR" altLang="en-US" sz="1050" b="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자리가 부족하다면 일부 겹쳐서 부착</a:t>
              </a:r>
              <a:r>
                <a:rPr lang="en-US" altLang="ko-KR" sz="1050" b="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ko-KR" altLang="en-US" sz="1050" b="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   부착진행방향</a:t>
              </a:r>
              <a:r>
                <a:rPr lang="en-US" altLang="ko-KR" sz="1050" b="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(</a:t>
              </a:r>
              <a:r>
                <a:rPr lang="ko-KR" altLang="en-US" sz="1050" b="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아래이미지참고</a:t>
              </a:r>
              <a:r>
                <a:rPr lang="en-US" altLang="ko-KR" sz="1050" b="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)</a:t>
              </a:r>
              <a:r>
                <a:rPr lang="ko-KR" altLang="en-US" sz="1050" b="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</a:t>
              </a:r>
              <a:r>
                <a:rPr lang="en-US" altLang="ko-KR" sz="1050" b="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: </a:t>
              </a:r>
              <a:r>
                <a:rPr lang="ko-KR" altLang="en-US" sz="1050" b="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왼쪽위 </a:t>
              </a:r>
              <a:r>
                <a:rPr lang="en-US" altLang="ko-KR" sz="1050" b="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--&gt; </a:t>
              </a:r>
              <a:r>
                <a:rPr lang="ko-KR" altLang="en-US" sz="1050" b="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왼쪽아래 </a:t>
              </a:r>
              <a:r>
                <a:rPr lang="en-US" altLang="ko-KR" sz="1050" b="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--&gt; </a:t>
              </a:r>
              <a:r>
                <a:rPr lang="ko-KR" altLang="en-US" sz="1050" b="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오른쪽위 </a:t>
              </a:r>
              <a:r>
                <a:rPr lang="en-US" altLang="ko-KR" sz="1050" b="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--&gt; </a:t>
              </a:r>
              <a:r>
                <a:rPr lang="ko-KR" altLang="en-US" sz="1050" b="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오른쪽아래</a:t>
              </a: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1050" b="0">
                  <a:solidFill>
                    <a:sysClr val="windowText" lastClr="000000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   </a:t>
              </a:r>
              <a:r>
                <a:rPr lang="en-US" altLang="ko-KR" sz="1050" b="0">
                  <a:solidFill>
                    <a:srgbClr val="0000FF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**</a:t>
              </a:r>
              <a:r>
                <a:rPr lang="ko-KR" altLang="en-US" sz="1050" b="0">
                  <a:solidFill>
                    <a:srgbClr val="0000FF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부착시</a:t>
              </a:r>
              <a:r>
                <a:rPr lang="ko-KR" altLang="en-US" sz="1050" b="0" baseline="0">
                  <a:solidFill>
                    <a:srgbClr val="0000FF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 테이프</a:t>
              </a:r>
              <a:r>
                <a:rPr lang="en-US" altLang="ko-KR" sz="1050" b="0" baseline="0">
                  <a:solidFill>
                    <a:srgbClr val="0000FF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, </a:t>
              </a:r>
              <a:r>
                <a:rPr lang="ko-KR" altLang="en-US" sz="1050" b="0" baseline="0">
                  <a:solidFill>
                    <a:srgbClr val="0000FF"/>
                  </a:solidFill>
                  <a:latin typeface="함초롬돋움" panose="020B0604000101010101" pitchFamily="50" charset="-127"/>
                  <a:ea typeface="함초롬돋움" panose="020B0604000101010101" pitchFamily="50" charset="-127"/>
                  <a:cs typeface="함초롬돋움" panose="020B0604000101010101" pitchFamily="50" charset="-127"/>
                </a:rPr>
                <a:t>스테플러 사용금지</a:t>
              </a:r>
              <a:endParaRPr lang="en-US" altLang="ko-KR" sz="1050" b="0" baseline="0">
                <a:solidFill>
                  <a:srgbClr val="0000FF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US" altLang="ko-KR" sz="1050" b="0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lang="en-US" altLang="ko-KR" sz="1050" b="0" baseline="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  <a:p>
              <a:pPr algn="l"/>
              <a:endParaRPr lang="en-US" altLang="ko-KR" sz="1050" b="1" u="sng">
                <a:solidFill>
                  <a:srgbClr val="FF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endParaRPr>
            </a:p>
          </xdr:txBody>
        </xdr:sp>
        <xdr:grpSp>
          <xdr:nvGrpSpPr>
            <xdr:cNvPr id="18" name="그룹 17">
              <a:extLst>
                <a:ext uri="{FF2B5EF4-FFF2-40B4-BE49-F238E27FC236}">
                  <a16:creationId xmlns:a16="http://schemas.microsoft.com/office/drawing/2014/main" id="{AAA13B6F-24B4-477B-B536-21BC9659CF49}"/>
                </a:ext>
              </a:extLst>
            </xdr:cNvPr>
            <xdr:cNvGrpSpPr>
              <a:grpSpLocks/>
            </xdr:cNvGrpSpPr>
          </xdr:nvGrpSpPr>
          <xdr:grpSpPr>
            <a:xfrm>
              <a:off x="7553325" y="7810500"/>
              <a:ext cx="5981700" cy="2743200"/>
              <a:chOff x="2695575" y="20431121"/>
              <a:chExt cx="7219950" cy="3829054"/>
            </a:xfrm>
          </xdr:grpSpPr>
          <xdr:sp macro="" textlink="">
            <xdr:nvSpPr>
              <xdr:cNvPr id="19" name="직사각형 18">
                <a:extLst>
                  <a:ext uri="{FF2B5EF4-FFF2-40B4-BE49-F238E27FC236}">
                    <a16:creationId xmlns:a16="http://schemas.microsoft.com/office/drawing/2014/main" id="{4FAAC718-3FF3-415F-9709-55AFC3939582}"/>
                  </a:ext>
                </a:extLst>
              </xdr:cNvPr>
              <xdr:cNvSpPr/>
            </xdr:nvSpPr>
            <xdr:spPr>
              <a:xfrm>
                <a:off x="2695575" y="20431121"/>
                <a:ext cx="3295650" cy="3819525"/>
              </a:xfrm>
              <a:prstGeom prst="rect">
                <a:avLst/>
              </a:prstGeom>
              <a:solidFill>
                <a:schemeClr val="bg2"/>
              </a:solidFill>
              <a:ln w="63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b"/>
              <a:lstStyle/>
              <a:p>
                <a:pPr algn="ctr">
                  <a:lnSpc>
                    <a:spcPts val="2300"/>
                  </a:lnSpc>
                </a:pPr>
                <a:r>
                  <a:rPr lang="ko-KR" altLang="en-US" sz="1200">
                    <a:solidFill>
                      <a:sysClr val="windowText" lastClr="000000"/>
                    </a:solidFill>
                  </a:rPr>
                  <a:t>청구내역</a:t>
                </a:r>
                <a:r>
                  <a:rPr lang="en-US" altLang="ko-KR" sz="1200">
                    <a:solidFill>
                      <a:sysClr val="windowText" lastClr="000000"/>
                    </a:solidFill>
                  </a:rPr>
                  <a:t>		</a:t>
                </a:r>
              </a:p>
              <a:p>
                <a:pPr algn="ctr">
                  <a:lnSpc>
                    <a:spcPts val="2300"/>
                  </a:lnSpc>
                </a:pPr>
                <a:r>
                  <a:rPr lang="en-US" altLang="ko-KR" sz="1200" b="1">
                    <a:solidFill>
                      <a:sysClr val="windowText" lastClr="000000"/>
                    </a:solidFill>
                  </a:rPr>
                  <a:t>1</a:t>
                </a:r>
                <a:r>
                  <a:rPr lang="ko-KR" altLang="en-US" sz="1200" b="1">
                    <a:solidFill>
                      <a:sysClr val="windowText" lastClr="000000"/>
                    </a:solidFill>
                  </a:rPr>
                  <a:t>번  </a:t>
                </a:r>
                <a:r>
                  <a:rPr lang="en-US" altLang="ko-KR" sz="1200">
                    <a:solidFill>
                      <a:sysClr val="windowText" lastClr="000000"/>
                    </a:solidFill>
                  </a:rPr>
                  <a:t>2020-02-21	</a:t>
                </a:r>
              </a:p>
              <a:p>
                <a:pPr algn="ctr">
                  <a:lnSpc>
                    <a:spcPts val="2300"/>
                  </a:lnSpc>
                </a:pPr>
                <a:r>
                  <a:rPr lang="en-US" altLang="ko-KR" sz="1200" b="1">
                    <a:solidFill>
                      <a:sysClr val="windowText" lastClr="000000"/>
                    </a:solidFill>
                  </a:rPr>
                  <a:t>2</a:t>
                </a:r>
                <a:r>
                  <a:rPr lang="ko-KR" altLang="en-US" sz="1200" b="1">
                    <a:solidFill>
                      <a:sysClr val="windowText" lastClr="000000"/>
                    </a:solidFill>
                  </a:rPr>
                  <a:t>번  </a:t>
                </a:r>
                <a:r>
                  <a:rPr lang="en-US" altLang="ko-KR" sz="1200">
                    <a:solidFill>
                      <a:sysClr val="windowText" lastClr="000000"/>
                    </a:solidFill>
                  </a:rPr>
                  <a:t>2020-02-23	</a:t>
                </a:r>
              </a:p>
              <a:p>
                <a:pPr algn="ctr">
                  <a:lnSpc>
                    <a:spcPts val="2200"/>
                  </a:lnSpc>
                </a:pPr>
                <a:r>
                  <a:rPr lang="en-US" altLang="ko-KR" sz="1200" b="1">
                    <a:solidFill>
                      <a:sysClr val="windowText" lastClr="000000"/>
                    </a:solidFill>
                  </a:rPr>
                  <a:t>3</a:t>
                </a:r>
                <a:r>
                  <a:rPr lang="ko-KR" altLang="en-US" sz="1200" b="1">
                    <a:solidFill>
                      <a:sysClr val="windowText" lastClr="000000"/>
                    </a:solidFill>
                  </a:rPr>
                  <a:t>번  </a:t>
                </a:r>
                <a:r>
                  <a:rPr lang="en-US" altLang="ko-KR" sz="1200">
                    <a:solidFill>
                      <a:sysClr val="windowText" lastClr="000000"/>
                    </a:solidFill>
                  </a:rPr>
                  <a:t>2020-02-24	</a:t>
                </a:r>
              </a:p>
              <a:p>
                <a:pPr algn="ctr">
                  <a:lnSpc>
                    <a:spcPts val="2300"/>
                  </a:lnSpc>
                </a:pPr>
                <a:r>
                  <a:rPr lang="en-US" altLang="ko-KR" sz="1200" b="1">
                    <a:solidFill>
                      <a:sysClr val="windowText" lastClr="000000"/>
                    </a:solidFill>
                  </a:rPr>
                  <a:t>4</a:t>
                </a:r>
                <a:r>
                  <a:rPr lang="ko-KR" altLang="en-US" sz="1200" b="1">
                    <a:solidFill>
                      <a:sysClr val="windowText" lastClr="000000"/>
                    </a:solidFill>
                  </a:rPr>
                  <a:t>번 </a:t>
                </a:r>
                <a:r>
                  <a:rPr lang="en-US" altLang="ko-KR" sz="1200">
                    <a:solidFill>
                      <a:sysClr val="windowText" lastClr="000000"/>
                    </a:solidFill>
                  </a:rPr>
                  <a:t>2020-02-25	</a:t>
                </a:r>
              </a:p>
              <a:p>
                <a:pPr algn="ctr">
                  <a:lnSpc>
                    <a:spcPts val="2200"/>
                  </a:lnSpc>
                </a:pPr>
                <a:r>
                  <a:rPr lang="en-US" altLang="ko-KR" sz="1200" b="1">
                    <a:solidFill>
                      <a:sysClr val="windowText" lastClr="000000"/>
                    </a:solidFill>
                  </a:rPr>
                  <a:t>5</a:t>
                </a:r>
                <a:r>
                  <a:rPr lang="ko-KR" altLang="en-US" sz="1200" b="1">
                    <a:solidFill>
                      <a:sysClr val="windowText" lastClr="000000"/>
                    </a:solidFill>
                  </a:rPr>
                  <a:t>번  </a:t>
                </a:r>
                <a:r>
                  <a:rPr lang="en-US" altLang="ko-KR" sz="1200">
                    <a:solidFill>
                      <a:sysClr val="windowText" lastClr="000000"/>
                    </a:solidFill>
                  </a:rPr>
                  <a:t>2020-02-26	</a:t>
                </a:r>
              </a:p>
              <a:p>
                <a:pPr algn="ctr">
                  <a:lnSpc>
                    <a:spcPts val="2200"/>
                  </a:lnSpc>
                </a:pPr>
                <a:endParaRPr lang="en-US" altLang="ko-KR" sz="1200">
                  <a:solidFill>
                    <a:sysClr val="windowText" lastClr="000000"/>
                  </a:solidFill>
                </a:endParaRPr>
              </a:p>
              <a:p>
                <a:pPr algn="ctr">
                  <a:lnSpc>
                    <a:spcPts val="2200"/>
                  </a:lnSpc>
                </a:pPr>
                <a:r>
                  <a:rPr lang="en-US" altLang="ko-KR" sz="1050">
                    <a:solidFill>
                      <a:sysClr val="windowText" lastClr="000000"/>
                    </a:solidFill>
                  </a:rPr>
                  <a:t>	   </a:t>
                </a:r>
                <a:r>
                  <a:rPr lang="ko-KR" altLang="en-US" sz="1050" b="1">
                    <a:solidFill>
                      <a:sysClr val="windowText" lastClr="000000"/>
                    </a:solidFill>
                  </a:rPr>
                  <a:t>비용청구서</a:t>
                </a:r>
                <a:r>
                  <a:rPr lang="en-US" altLang="ko-KR" sz="1050" b="1">
                    <a:solidFill>
                      <a:sysClr val="windowText" lastClr="000000"/>
                    </a:solidFill>
                  </a:rPr>
                  <a:t>(</a:t>
                </a:r>
                <a:r>
                  <a:rPr lang="ko-KR" altLang="en-US" sz="1050" b="1">
                    <a:solidFill>
                      <a:sysClr val="windowText" lastClr="000000"/>
                    </a:solidFill>
                  </a:rPr>
                  <a:t>앞면</a:t>
                </a:r>
                <a:r>
                  <a:rPr lang="en-US" altLang="ko-KR" sz="1050" b="1">
                    <a:solidFill>
                      <a:sysClr val="windowText" lastClr="000000"/>
                    </a:solidFill>
                  </a:rPr>
                  <a:t>)</a:t>
                </a:r>
                <a:endParaRPr lang="ko-KR" altLang="en-US" sz="1050" b="1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20" name="그룹 19">
                <a:extLst>
                  <a:ext uri="{FF2B5EF4-FFF2-40B4-BE49-F238E27FC236}">
                    <a16:creationId xmlns:a16="http://schemas.microsoft.com/office/drawing/2014/main" id="{6DE5FA1B-1324-4C42-8AAB-1A31CB1F076C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6562725" y="20440650"/>
                <a:ext cx="3352800" cy="3819525"/>
                <a:chOff x="4781550" y="15373350"/>
                <a:chExt cx="3295650" cy="3819525"/>
              </a:xfrm>
            </xdr:grpSpPr>
            <xdr:sp macro="" textlink="">
              <xdr:nvSpPr>
                <xdr:cNvPr id="21" name="직사각형 20">
                  <a:extLst>
                    <a:ext uri="{FF2B5EF4-FFF2-40B4-BE49-F238E27FC236}">
                      <a16:creationId xmlns:a16="http://schemas.microsoft.com/office/drawing/2014/main" id="{5F72ADC0-76A9-40C5-A5CF-F3C8F2E9E179}"/>
                    </a:ext>
                  </a:extLst>
                </xdr:cNvPr>
                <xdr:cNvSpPr>
                  <a:spLocks noChangeAspect="1"/>
                </xdr:cNvSpPr>
              </xdr:nvSpPr>
              <xdr:spPr>
                <a:xfrm>
                  <a:off x="4781550" y="15373350"/>
                  <a:ext cx="3295650" cy="3819525"/>
                </a:xfrm>
                <a:prstGeom prst="rect">
                  <a:avLst/>
                </a:prstGeom>
                <a:solidFill>
                  <a:schemeClr val="bg2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b"/>
                <a:lstStyle/>
                <a:p>
                  <a:pPr algn="r"/>
                  <a:r>
                    <a:rPr lang="ko-KR" altLang="en-US" sz="1000" b="1">
                      <a:solidFill>
                        <a:sysClr val="windowText" lastClr="000000"/>
                      </a:solidFill>
                    </a:rPr>
                    <a:t>비용청구서</a:t>
                  </a:r>
                  <a:r>
                    <a:rPr lang="en-US" altLang="ko-KR" sz="1000" b="1">
                      <a:solidFill>
                        <a:sysClr val="windowText" lastClr="000000"/>
                      </a:solidFill>
                    </a:rPr>
                    <a:t>(</a:t>
                  </a:r>
                  <a:r>
                    <a:rPr lang="ko-KR" altLang="en-US" sz="1000" b="1">
                      <a:solidFill>
                        <a:sysClr val="windowText" lastClr="000000"/>
                      </a:solidFill>
                    </a:rPr>
                    <a:t>뒷면</a:t>
                  </a:r>
                  <a:r>
                    <a:rPr lang="en-US" altLang="ko-KR" sz="1000" b="1">
                      <a:solidFill>
                        <a:sysClr val="windowText" lastClr="000000"/>
                      </a:solidFill>
                    </a:rPr>
                    <a:t>)</a:t>
                  </a:r>
                  <a:endParaRPr lang="ko-KR" altLang="en-US" sz="1000" b="1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22" name="사각형: 둥근 모서리 21">
                  <a:extLst>
                    <a:ext uri="{FF2B5EF4-FFF2-40B4-BE49-F238E27FC236}">
                      <a16:creationId xmlns:a16="http://schemas.microsoft.com/office/drawing/2014/main" id="{37789A3D-306C-4BA4-A36A-7A1129256B9E}"/>
                    </a:ext>
                  </a:extLst>
                </xdr:cNvPr>
                <xdr:cNvSpPr/>
              </xdr:nvSpPr>
              <xdr:spPr>
                <a:xfrm>
                  <a:off x="4933950" y="16440150"/>
                  <a:ext cx="1419225" cy="2057400"/>
                </a:xfrm>
                <a:prstGeom prst="roundRect">
                  <a:avLst/>
                </a:prstGeom>
                <a:solidFill>
                  <a:schemeClr val="accent3">
                    <a:lumMod val="20000"/>
                    <a:lumOff val="80000"/>
                  </a:schemeClr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b"/>
                <a:lstStyle/>
                <a:p>
                  <a:pPr algn="r"/>
                  <a:r>
                    <a:rPr lang="en-US" altLang="ko-KR" sz="1100" b="1">
                      <a:solidFill>
                        <a:sysClr val="windowText" lastClr="000000"/>
                      </a:solidFill>
                    </a:rPr>
                    <a:t>3</a:t>
                  </a:r>
                  <a:r>
                    <a:rPr lang="ko-KR" altLang="en-US" sz="1100" b="1">
                      <a:solidFill>
                        <a:sysClr val="windowText" lastClr="000000"/>
                      </a:solidFill>
                    </a:rPr>
                    <a:t>번영수증</a:t>
                  </a:r>
                </a:p>
              </xdr:txBody>
            </xdr:sp>
            <xdr:sp macro="" textlink="">
              <xdr:nvSpPr>
                <xdr:cNvPr id="23" name="사각형: 둥근 모서리 22">
                  <a:extLst>
                    <a:ext uri="{FF2B5EF4-FFF2-40B4-BE49-F238E27FC236}">
                      <a16:creationId xmlns:a16="http://schemas.microsoft.com/office/drawing/2014/main" id="{E9D62978-FB2C-4107-ADBD-99CEC88D8925}"/>
                    </a:ext>
                  </a:extLst>
                </xdr:cNvPr>
                <xdr:cNvSpPr/>
              </xdr:nvSpPr>
              <xdr:spPr>
                <a:xfrm>
                  <a:off x="4933950" y="15716250"/>
                  <a:ext cx="1419225" cy="2057400"/>
                </a:xfrm>
                <a:prstGeom prst="roundRect">
                  <a:avLst/>
                </a:prstGeom>
                <a:solidFill>
                  <a:schemeClr val="accent6">
                    <a:lumMod val="20000"/>
                    <a:lumOff val="80000"/>
                  </a:schemeClr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b"/>
                <a:lstStyle/>
                <a:p>
                  <a:pPr algn="r"/>
                  <a:r>
                    <a:rPr lang="en-US" altLang="ko-KR" sz="1100" b="1">
                      <a:solidFill>
                        <a:sysClr val="windowText" lastClr="000000"/>
                      </a:solidFill>
                    </a:rPr>
                    <a:t>2</a:t>
                  </a:r>
                  <a:r>
                    <a:rPr lang="ko-KR" altLang="en-US" sz="1100" b="1">
                      <a:solidFill>
                        <a:sysClr val="windowText" lastClr="000000"/>
                      </a:solidFill>
                    </a:rPr>
                    <a:t>번영수증</a:t>
                  </a:r>
                </a:p>
              </xdr:txBody>
            </xdr:sp>
            <xdr:sp macro="" textlink="">
              <xdr:nvSpPr>
                <xdr:cNvPr id="24" name="사각형: 둥근 모서리 23">
                  <a:extLst>
                    <a:ext uri="{FF2B5EF4-FFF2-40B4-BE49-F238E27FC236}">
                      <a16:creationId xmlns:a16="http://schemas.microsoft.com/office/drawing/2014/main" id="{FA5E483A-01D0-47E7-9D99-F45AD0D47C0A}"/>
                    </a:ext>
                  </a:extLst>
                </xdr:cNvPr>
                <xdr:cNvSpPr/>
              </xdr:nvSpPr>
              <xdr:spPr>
                <a:xfrm>
                  <a:off x="6581775" y="16440150"/>
                  <a:ext cx="1419225" cy="2057400"/>
                </a:xfrm>
                <a:prstGeom prst="roundRect">
                  <a:avLst/>
                </a:prstGeom>
                <a:solidFill>
                  <a:schemeClr val="accent4">
                    <a:lumMod val="20000"/>
                    <a:lumOff val="80000"/>
                  </a:schemeClr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b"/>
                <a:lstStyle/>
                <a:p>
                  <a:pPr algn="r"/>
                  <a:r>
                    <a:rPr lang="en-US" altLang="ko-KR" sz="1100" b="1">
                      <a:solidFill>
                        <a:sysClr val="windowText" lastClr="000000"/>
                      </a:solidFill>
                    </a:rPr>
                    <a:t>5</a:t>
                  </a:r>
                  <a:r>
                    <a:rPr lang="ko-KR" altLang="en-US" sz="1100" b="1">
                      <a:solidFill>
                        <a:sysClr val="windowText" lastClr="000000"/>
                      </a:solidFill>
                    </a:rPr>
                    <a:t>번영수증</a:t>
                  </a:r>
                </a:p>
              </xdr:txBody>
            </xdr:sp>
            <xdr:sp macro="" textlink="">
              <xdr:nvSpPr>
                <xdr:cNvPr id="25" name="사각형: 둥근 모서리 24">
                  <a:extLst>
                    <a:ext uri="{FF2B5EF4-FFF2-40B4-BE49-F238E27FC236}">
                      <a16:creationId xmlns:a16="http://schemas.microsoft.com/office/drawing/2014/main" id="{AC00DD9D-2D7A-465F-9E4E-FA5246465161}"/>
                    </a:ext>
                  </a:extLst>
                </xdr:cNvPr>
                <xdr:cNvSpPr/>
              </xdr:nvSpPr>
              <xdr:spPr>
                <a:xfrm>
                  <a:off x="6581775" y="15716250"/>
                  <a:ext cx="1419225" cy="2057400"/>
                </a:xfrm>
                <a:prstGeom prst="roundRect">
                  <a:avLst/>
                </a:prstGeom>
                <a:solidFill>
                  <a:schemeClr val="accent1">
                    <a:lumMod val="20000"/>
                    <a:lumOff val="80000"/>
                  </a:schemeClr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b"/>
                <a:lstStyle/>
                <a:p>
                  <a:pPr algn="r"/>
                  <a:r>
                    <a:rPr lang="en-US" altLang="ko-KR" sz="1100" b="1">
                      <a:solidFill>
                        <a:sysClr val="windowText" lastClr="000000"/>
                      </a:solidFill>
                    </a:rPr>
                    <a:t>4</a:t>
                  </a:r>
                  <a:r>
                    <a:rPr lang="ko-KR" altLang="en-US" sz="1100" b="1">
                      <a:solidFill>
                        <a:sysClr val="windowText" lastClr="000000"/>
                      </a:solidFill>
                    </a:rPr>
                    <a:t>번영수증</a:t>
                  </a:r>
                </a:p>
              </xdr:txBody>
            </xdr:sp>
            <xdr:sp macro="" textlink="">
              <xdr:nvSpPr>
                <xdr:cNvPr id="26" name="사각형: 둥근 모서리 25">
                  <a:extLst>
                    <a:ext uri="{FF2B5EF4-FFF2-40B4-BE49-F238E27FC236}">
                      <a16:creationId xmlns:a16="http://schemas.microsoft.com/office/drawing/2014/main" id="{5151B184-18F6-49AE-AE1B-4124DB57DD3C}"/>
                    </a:ext>
                  </a:extLst>
                </xdr:cNvPr>
                <xdr:cNvSpPr/>
              </xdr:nvSpPr>
              <xdr:spPr>
                <a:xfrm>
                  <a:off x="4933467" y="15500945"/>
                  <a:ext cx="1437318" cy="1631155"/>
                </a:xfrm>
                <a:prstGeom prst="roundRect">
                  <a:avLst/>
                </a:prstGeom>
                <a:solidFill>
                  <a:schemeClr val="accent2">
                    <a:lumMod val="20000"/>
                    <a:lumOff val="80000"/>
                  </a:schemeClr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b"/>
                <a:lstStyle/>
                <a:p>
                  <a:pPr algn="r"/>
                  <a:r>
                    <a:rPr lang="en-US" altLang="ko-KR" sz="1100" b="1">
                      <a:solidFill>
                        <a:sysClr val="windowText" lastClr="000000"/>
                      </a:solidFill>
                    </a:rPr>
                    <a:t>1</a:t>
                  </a:r>
                  <a:r>
                    <a:rPr lang="ko-KR" altLang="en-US" sz="1100" b="1">
                      <a:solidFill>
                        <a:sysClr val="windowText" lastClr="000000"/>
                      </a:solidFill>
                    </a:rPr>
                    <a:t>번영수증</a:t>
                  </a:r>
                </a:p>
              </xdr:txBody>
            </xdr:sp>
            <xdr:sp macro="" textlink="">
              <xdr:nvSpPr>
                <xdr:cNvPr id="27" name="화살표: 아래쪽 26">
                  <a:extLst>
                    <a:ext uri="{FF2B5EF4-FFF2-40B4-BE49-F238E27FC236}">
                      <a16:creationId xmlns:a16="http://schemas.microsoft.com/office/drawing/2014/main" id="{97053837-9174-4AAE-8316-28DD0C102560}"/>
                    </a:ext>
                  </a:extLst>
                </xdr:cNvPr>
                <xdr:cNvSpPr/>
              </xdr:nvSpPr>
              <xdr:spPr>
                <a:xfrm>
                  <a:off x="4990938" y="15973425"/>
                  <a:ext cx="400050" cy="3028950"/>
                </a:xfrm>
                <a:prstGeom prst="downArrow">
                  <a:avLst/>
                </a:prstGeom>
                <a:solidFill>
                  <a:srgbClr val="FFFF00"/>
                </a:solidFill>
                <a:ln>
                  <a:solidFill>
                    <a:srgbClr val="FF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ctr"/>
                  <a:r>
                    <a:rPr lang="en-US" altLang="ko-KR" sz="1400" b="1">
                      <a:solidFill>
                        <a:sysClr val="windowText" lastClr="000000"/>
                      </a:solidFill>
                    </a:rPr>
                    <a:t>1</a:t>
                  </a:r>
                  <a:endParaRPr lang="ko-KR" altLang="en-US" sz="1400" b="1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28" name="화살표: 아래쪽 27">
                  <a:extLst>
                    <a:ext uri="{FF2B5EF4-FFF2-40B4-BE49-F238E27FC236}">
                      <a16:creationId xmlns:a16="http://schemas.microsoft.com/office/drawing/2014/main" id="{CBCD9C86-6DA4-4184-86F2-2C26D1087B8D}"/>
                    </a:ext>
                  </a:extLst>
                </xdr:cNvPr>
                <xdr:cNvSpPr/>
              </xdr:nvSpPr>
              <xdr:spPr>
                <a:xfrm>
                  <a:off x="6610350" y="17049750"/>
                  <a:ext cx="400050" cy="1809750"/>
                </a:xfrm>
                <a:prstGeom prst="downArrow">
                  <a:avLst/>
                </a:prstGeom>
                <a:solidFill>
                  <a:srgbClr val="FFFF00"/>
                </a:solidFill>
                <a:ln>
                  <a:solidFill>
                    <a:srgbClr val="FF0000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ctr"/>
                  <a:r>
                    <a:rPr lang="en-US" altLang="ko-KR" sz="1400" b="1">
                      <a:solidFill>
                        <a:sysClr val="windowText" lastClr="000000"/>
                      </a:solidFill>
                    </a:rPr>
                    <a:t>2</a:t>
                  </a:r>
                  <a:endParaRPr lang="ko-KR" altLang="en-US" sz="1400" b="1">
                    <a:solidFill>
                      <a:sysClr val="windowText" lastClr="000000"/>
                    </a:solidFill>
                  </a:endParaRPr>
                </a:p>
              </xdr:txBody>
            </xdr:sp>
          </xdr:grpSp>
        </xdr:grpSp>
      </xdr:grpSp>
      <xdr:grpSp>
        <xdr:nvGrpSpPr>
          <xdr:cNvPr id="7" name="그룹 6">
            <a:extLst>
              <a:ext uri="{FF2B5EF4-FFF2-40B4-BE49-F238E27FC236}">
                <a16:creationId xmlns:a16="http://schemas.microsoft.com/office/drawing/2014/main" id="{3304F818-B4D9-45BE-95B3-A8C305969F8A}"/>
              </a:ext>
            </a:extLst>
          </xdr:cNvPr>
          <xdr:cNvGrpSpPr/>
        </xdr:nvGrpSpPr>
        <xdr:grpSpPr>
          <a:xfrm>
            <a:off x="17331577" y="2196004"/>
            <a:ext cx="7765883" cy="7606902"/>
            <a:chOff x="8971990" y="8863503"/>
            <a:chExt cx="7765883" cy="7606902"/>
          </a:xfrm>
        </xdr:grpSpPr>
        <xdr:pic>
          <xdr:nvPicPr>
            <xdr:cNvPr id="10" name="그림 9">
              <a:extLst>
                <a:ext uri="{FF2B5EF4-FFF2-40B4-BE49-F238E27FC236}">
                  <a16:creationId xmlns:a16="http://schemas.microsoft.com/office/drawing/2014/main" id="{782C73C4-465A-4272-A1F9-C5AE6356A3DF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1"/>
            <a:srcRect l="8527" t="919" r="5168" b="-919"/>
            <a:stretch/>
          </xdr:blipFill>
          <xdr:spPr>
            <a:xfrm>
              <a:off x="8971990" y="8863503"/>
              <a:ext cx="3714670" cy="2468446"/>
            </a:xfrm>
            <a:prstGeom prst="rect">
              <a:avLst/>
            </a:prstGeom>
            <a:ln>
              <a:solidFill>
                <a:sysClr val="windowText" lastClr="000000"/>
              </a:solidFill>
            </a:ln>
          </xdr:spPr>
        </xdr:pic>
        <xdr:pic>
          <xdr:nvPicPr>
            <xdr:cNvPr id="11" name="그림 10">
              <a:extLst>
                <a:ext uri="{FF2B5EF4-FFF2-40B4-BE49-F238E27FC236}">
                  <a16:creationId xmlns:a16="http://schemas.microsoft.com/office/drawing/2014/main" id="{E43B5C69-D1A5-4C44-8E2C-3367DA035129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2"/>
            <a:srcRect l="8168" r="4010"/>
            <a:stretch/>
          </xdr:blipFill>
          <xdr:spPr>
            <a:xfrm>
              <a:off x="12837458" y="8872428"/>
              <a:ext cx="3596529" cy="2368340"/>
            </a:xfrm>
            <a:prstGeom prst="rect">
              <a:avLst/>
            </a:prstGeom>
            <a:ln>
              <a:solidFill>
                <a:sysClr val="windowText" lastClr="000000"/>
              </a:solidFill>
            </a:ln>
          </xdr:spPr>
        </xdr:pic>
        <xdr:pic>
          <xdr:nvPicPr>
            <xdr:cNvPr id="12" name="그림 11">
              <a:extLst>
                <a:ext uri="{FF2B5EF4-FFF2-40B4-BE49-F238E27FC236}">
                  <a16:creationId xmlns:a16="http://schemas.microsoft.com/office/drawing/2014/main" id="{6626EB60-DD2A-458F-BC93-5BE0784C09DE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"/>
            <a:srcRect l="3220" r="2532"/>
            <a:stretch/>
          </xdr:blipFill>
          <xdr:spPr>
            <a:xfrm>
              <a:off x="8981514" y="11238018"/>
              <a:ext cx="3705177" cy="2251623"/>
            </a:xfrm>
            <a:prstGeom prst="rect">
              <a:avLst/>
            </a:prstGeom>
            <a:ln>
              <a:solidFill>
                <a:sysClr val="windowText" lastClr="000000"/>
              </a:solidFill>
            </a:ln>
          </xdr:spPr>
        </xdr:pic>
        <xdr:pic>
          <xdr:nvPicPr>
            <xdr:cNvPr id="13" name="그림 12">
              <a:extLst>
                <a:ext uri="{FF2B5EF4-FFF2-40B4-BE49-F238E27FC236}">
                  <a16:creationId xmlns:a16="http://schemas.microsoft.com/office/drawing/2014/main" id="{019AEAF2-F189-4307-BF12-E416D32ADA0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2833548" y="11240826"/>
              <a:ext cx="3904325" cy="2248815"/>
            </a:xfrm>
            <a:prstGeom prst="rect">
              <a:avLst/>
            </a:prstGeom>
            <a:ln>
              <a:solidFill>
                <a:sysClr val="windowText" lastClr="000000"/>
              </a:solidFill>
            </a:ln>
          </xdr:spPr>
        </xdr:pic>
        <xdr:pic>
          <xdr:nvPicPr>
            <xdr:cNvPr id="14" name="그림 13">
              <a:extLst>
                <a:ext uri="{FF2B5EF4-FFF2-40B4-BE49-F238E27FC236}">
                  <a16:creationId xmlns:a16="http://schemas.microsoft.com/office/drawing/2014/main" id="{F66DCF65-90A8-4EE0-A6BF-6B1FF7460525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5"/>
            <a:srcRect l="-3425" t="640" r="27367" b="-640"/>
            <a:stretch/>
          </xdr:blipFill>
          <xdr:spPr>
            <a:xfrm>
              <a:off x="8973693" y="13569419"/>
              <a:ext cx="3839564" cy="2900986"/>
            </a:xfrm>
            <a:prstGeom prst="rect">
              <a:avLst/>
            </a:prstGeom>
            <a:ln>
              <a:solidFill>
                <a:sysClr val="windowText" lastClr="000000"/>
              </a:solidFill>
            </a:ln>
          </xdr:spPr>
        </xdr:pic>
        <xdr:sp macro="" textlink="">
          <xdr:nvSpPr>
            <xdr:cNvPr id="15" name="화살표: 아래쪽 14">
              <a:extLst>
                <a:ext uri="{FF2B5EF4-FFF2-40B4-BE49-F238E27FC236}">
                  <a16:creationId xmlns:a16="http://schemas.microsoft.com/office/drawing/2014/main" id="{0A13B4C0-3EB8-4621-892E-0653CE9F0E1B}"/>
                </a:ext>
              </a:extLst>
            </xdr:cNvPr>
            <xdr:cNvSpPr/>
          </xdr:nvSpPr>
          <xdr:spPr bwMode="auto">
            <a:xfrm rot="16200000">
              <a:off x="12518405" y="9068113"/>
              <a:ext cx="340549" cy="540634"/>
            </a:xfrm>
            <a:prstGeom prst="downArrow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ko-KR" altLang="en-US" sz="1400" b="1">
                <a:solidFill>
                  <a:sysClr val="windowText" lastClr="000000"/>
                </a:solidFill>
              </a:endParaRPr>
            </a:p>
          </xdr:txBody>
        </xdr:sp>
        <xdr:sp macro="" textlink="">
          <xdr:nvSpPr>
            <xdr:cNvPr id="16" name="화살표: 아래쪽 15">
              <a:extLst>
                <a:ext uri="{FF2B5EF4-FFF2-40B4-BE49-F238E27FC236}">
                  <a16:creationId xmlns:a16="http://schemas.microsoft.com/office/drawing/2014/main" id="{A217269B-FFA8-4BFC-BF2F-EF87E5170CFF}"/>
                </a:ext>
              </a:extLst>
            </xdr:cNvPr>
            <xdr:cNvSpPr/>
          </xdr:nvSpPr>
          <xdr:spPr bwMode="auto">
            <a:xfrm rot="16200000">
              <a:off x="12564913" y="12328463"/>
              <a:ext cx="340548" cy="538393"/>
            </a:xfrm>
            <a:prstGeom prst="downArrow">
              <a:avLst/>
            </a:prstGeom>
            <a:solidFill>
              <a:schemeClr val="bg1"/>
            </a:solidFill>
            <a:ln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endParaRPr lang="ko-KR" altLang="en-US" sz="1400" b="1">
                <a:solidFill>
                  <a:sysClr val="windowText" lastClr="000000"/>
                </a:solidFill>
              </a:endParaRPr>
            </a:p>
          </xdr:txBody>
        </xdr:sp>
      </xdr:grpSp>
      <xdr:sp macro="" textlink="">
        <xdr:nvSpPr>
          <xdr:cNvPr id="8" name="직사각형 7">
            <a:extLst>
              <a:ext uri="{FF2B5EF4-FFF2-40B4-BE49-F238E27FC236}">
                <a16:creationId xmlns:a16="http://schemas.microsoft.com/office/drawing/2014/main" id="{4A864E8F-967C-4B98-A5A3-F0FE851D695F}"/>
              </a:ext>
            </a:extLst>
          </xdr:cNvPr>
          <xdr:cNvSpPr/>
        </xdr:nvSpPr>
        <xdr:spPr>
          <a:xfrm>
            <a:off x="201706" y="12057530"/>
            <a:ext cx="9686925" cy="6678705"/>
          </a:xfrm>
          <a:prstGeom prst="rect">
            <a:avLst/>
          </a:prstGeom>
          <a:solidFill>
            <a:sysClr val="window" lastClr="FFFFFF"/>
          </a:solidFill>
          <a:ln w="28575">
            <a:solidFill>
              <a:srgbClr val="FFCCCC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US" altLang="ko-KR" sz="16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FAQ</a:t>
            </a:r>
          </a:p>
          <a:p>
            <a:pPr algn="l"/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Q1. </a:t>
            </a:r>
            <a:r>
              <a:rPr lang="ko-KR" altLang="en-US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법인카드를 실수로 사적용도로 사용한 건이 있는데 지우고 청구하나요</a:t>
            </a:r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?</a:t>
            </a:r>
          </a:p>
          <a:p>
            <a:pPr algn="l"/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A.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법인카드를 개인용도로 사용하였더라도 삭제하지 않고 청구서에 포함하고 청구금액을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0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으로 작성하면 됩니다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(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카드명세서내역과 비용청구서내역은 동일해야 합니다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.)</a:t>
            </a:r>
          </a:p>
          <a:p>
            <a:pPr algn="l"/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Q2. </a:t>
            </a:r>
            <a:r>
              <a:rPr lang="ko-KR" altLang="en-US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영수증 하나를 다른항목으로 청구하고자 합니다</a:t>
            </a:r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어떻게 하나요</a:t>
            </a:r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?</a:t>
            </a:r>
          </a:p>
          <a:p>
            <a:pPr algn="l"/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A.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되도록 영수증은 목적별로 나누어 결제하되 한번에 결제한 경우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청구 시에는 한줄로 작성하고 비고에 목적별 사유를 및 청구금액을 각각 기재합니다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</a:t>
            </a:r>
          </a:p>
          <a:p>
            <a:pPr algn="l"/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Q3. </a:t>
            </a:r>
            <a:r>
              <a:rPr lang="ko-KR" altLang="en-US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회사 물품을 개인물품과 같이 구매하고 따로 청구해도 되나요</a:t>
            </a:r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?</a:t>
            </a:r>
          </a:p>
          <a:p>
            <a:pPr algn="l"/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A.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회사로 청구하는 물품은 개인 구매물품과 별도로 결제하여야 합니다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.(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예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-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개인물품과 회사슬리퍼 구매후 슬리퍼 청구하는 경우 슬리퍼만 따로 결제하여 청구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  <a:p>
            <a:pPr algn="l"/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Q4.</a:t>
            </a:r>
            <a:r>
              <a:rPr lang="ko-KR" altLang="en-US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비고가 동일한 항목이 연속적으로 있는데 셀 병합하여도 되나요</a:t>
            </a:r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?</a:t>
            </a:r>
          </a:p>
          <a:p>
            <a:pPr algn="l"/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A.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셀 병합은 하시면 안됩니다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이러한 경우에는 동일하게 반복기재하거나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"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상동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"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으로 기재하시기 바랍니다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</a:t>
            </a:r>
          </a:p>
          <a:p>
            <a:pPr algn="l"/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Q5. </a:t>
            </a:r>
            <a:r>
              <a:rPr lang="ko-KR" altLang="en-US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지방으로 외근 시 집과 거리가 멀어 저녁식사하였는데 이건 외근식비인가요</a:t>
            </a:r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야근식비인가요</a:t>
            </a:r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?</a:t>
            </a:r>
          </a:p>
          <a:p>
            <a:pPr algn="l"/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A.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만약 야근인정시간이상 초과근무하고 식사하였다면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'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야근식비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'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로 청구하여주시고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초과근무 없이 식사 하였다면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'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외근식비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'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로 청구하시면 됩니다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</a:t>
            </a:r>
          </a:p>
          <a:p>
            <a:pPr algn="l"/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Q6. </a:t>
            </a:r>
            <a:r>
              <a:rPr lang="ko-KR" altLang="en-US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외근교통비를 미리 예약해서 영수일과 실제 사용일이 다르면 어떻게 기재하나요</a:t>
            </a:r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?</a:t>
            </a:r>
          </a:p>
          <a:p>
            <a:pPr algn="l"/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A.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영수일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(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구매일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결제일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과 실사용일이 다르면 실사용일은 비고란에 기재하여 승인받습니다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</a:t>
            </a:r>
          </a:p>
          <a:p>
            <a:pPr algn="l"/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Q7. </a:t>
            </a:r>
            <a:r>
              <a:rPr lang="ko-KR" altLang="en-US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어제 야근 후 식비를 사용햐였는데 영수증이 여러건입니다 어떻게 작성하나요</a:t>
            </a:r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? (</a:t>
            </a:r>
            <a:r>
              <a:rPr lang="ko-KR" altLang="en-US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외근식비</a:t>
            </a:r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야근식비</a:t>
            </a:r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회식비 등 공통적용됨</a:t>
            </a:r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)</a:t>
            </a:r>
          </a:p>
          <a:p>
            <a:pPr algn="l"/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A.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원칙적으로는 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'1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회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'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에 사용하도록 안내하고 있으나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,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만약 분할하여 사용하였다면 일자와 목적이 동일한 경우 여러행으로 기재해도 자동합산처리되므로 목적과 청구금액을 잘 기재하였는지 확인하여 주시기 바랍니다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</a:t>
            </a:r>
          </a:p>
          <a:p>
            <a:pPr algn="l"/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  <a:p>
            <a:pPr algn="l"/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Q8. </a:t>
            </a:r>
            <a:r>
              <a:rPr lang="ko-KR" altLang="en-US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영수증 사이즈가 커서 붙이기가 어려운데 어떻게 하나요</a:t>
            </a:r>
            <a:r>
              <a:rPr lang="en-US" altLang="ko-KR" sz="1000" b="1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?</a:t>
            </a:r>
          </a:p>
          <a:p>
            <a:pPr algn="l"/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A. 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영수증이 커서 날짜 순서대로 붙이기 어렵다면 가장 앞에 붙이고 비용청구서에도 동일한 순서로 작성하시면 됩니다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.(</a:t>
            </a:r>
            <a:r>
              <a:rPr lang="ko-KR" altLang="en-US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영수증은 비용청구서 기재순서와 동일하게 부착하여야 합니다</a:t>
            </a:r>
            <a:r>
              <a:rPr lang="en-US" altLang="ko-KR" sz="1000">
                <a:solidFill>
                  <a:sysClr val="windowText" lastClr="000000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.)</a:t>
            </a:r>
          </a:p>
          <a:p>
            <a:pPr algn="l"/>
            <a:endParaRPr lang="en-US" altLang="ko-KR" sz="1000">
              <a:solidFill>
                <a:sysClr val="windowText" lastClr="000000"/>
              </a:solidFill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endParaRPr>
          </a:p>
        </xdr:txBody>
      </xdr:sp>
      <xdr:sp macro="" textlink="">
        <xdr:nvSpPr>
          <xdr:cNvPr id="9" name="직사각형 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652BF6C4-F1D9-4FA6-90C5-2C175AFDAB61}"/>
              </a:ext>
            </a:extLst>
          </xdr:cNvPr>
          <xdr:cNvSpPr/>
        </xdr:nvSpPr>
        <xdr:spPr>
          <a:xfrm>
            <a:off x="21481677" y="818030"/>
            <a:ext cx="876300" cy="133350"/>
          </a:xfrm>
          <a:prstGeom prst="rect">
            <a:avLst/>
          </a:prstGeom>
          <a:solidFill>
            <a:srgbClr val="0070C0"/>
          </a:solidFill>
          <a:ln w="127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800">
                <a:solidFill>
                  <a:schemeClr val="bg1"/>
                </a:solidFill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바로가기</a:t>
            </a:r>
          </a:p>
        </xdr:txBody>
      </xdr:sp>
    </xdr:grpSp>
    <xdr:clientData/>
  </xdr:twoCellAnchor>
  <xdr:twoCellAnchor>
    <xdr:from>
      <xdr:col>30</xdr:col>
      <xdr:colOff>257855</xdr:colOff>
      <xdr:row>21</xdr:row>
      <xdr:rowOff>82863</xdr:rowOff>
    </xdr:from>
    <xdr:to>
      <xdr:col>31</xdr:col>
      <xdr:colOff>131195</xdr:colOff>
      <xdr:row>22</xdr:row>
      <xdr:rowOff>201230</xdr:rowOff>
    </xdr:to>
    <xdr:sp macro="" textlink="">
      <xdr:nvSpPr>
        <xdr:cNvPr id="33" name="화살표: 아래쪽 32">
          <a:extLst>
            <a:ext uri="{FF2B5EF4-FFF2-40B4-BE49-F238E27FC236}">
              <a16:creationId xmlns:a16="http://schemas.microsoft.com/office/drawing/2014/main" id="{B366B9B5-76F1-47DD-9BD4-A6C210EC9EFC}"/>
            </a:ext>
          </a:extLst>
        </xdr:cNvPr>
        <xdr:cNvSpPr/>
      </xdr:nvSpPr>
      <xdr:spPr bwMode="auto">
        <a:xfrm rot="2791188">
          <a:off x="20877430" y="4441200"/>
          <a:ext cx="331279" cy="556899"/>
        </a:xfrm>
        <a:prstGeom prst="downArrow">
          <a:avLst/>
        </a:prstGeom>
        <a:solidFill>
          <a:sysClr val="window" lastClr="FFFFFF"/>
        </a:solidFill>
        <a:ln w="25400" cap="flat" cmpd="sng" algn="ctr">
          <a:solidFill>
            <a:sysClr val="windowText" lastClr="00000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맑은 고딕" panose="020B0503020000020004" pitchFamily="50" charset="-127"/>
            <a:cs typeface="+mn-cs"/>
          </a:endParaRPr>
        </a:p>
      </xdr:txBody>
    </xdr:sp>
    <xdr:clientData/>
  </xdr:twoCellAnchor>
  <xdr:twoCellAnchor>
    <xdr:from>
      <xdr:col>30</xdr:col>
      <xdr:colOff>333297</xdr:colOff>
      <xdr:row>33</xdr:row>
      <xdr:rowOff>53107</xdr:rowOff>
    </xdr:from>
    <xdr:to>
      <xdr:col>31</xdr:col>
      <xdr:colOff>226933</xdr:colOff>
      <xdr:row>34</xdr:row>
      <xdr:rowOff>161548</xdr:rowOff>
    </xdr:to>
    <xdr:sp macro="" textlink="">
      <xdr:nvSpPr>
        <xdr:cNvPr id="34" name="화살표: 아래쪽 33">
          <a:extLst>
            <a:ext uri="{FF2B5EF4-FFF2-40B4-BE49-F238E27FC236}">
              <a16:creationId xmlns:a16="http://schemas.microsoft.com/office/drawing/2014/main" id="{93A9C866-A21A-496C-A5E3-FEC0635AC3D6}"/>
            </a:ext>
          </a:extLst>
        </xdr:cNvPr>
        <xdr:cNvSpPr/>
      </xdr:nvSpPr>
      <xdr:spPr bwMode="auto">
        <a:xfrm rot="2791188">
          <a:off x="20967983" y="6951274"/>
          <a:ext cx="321353" cy="577195"/>
        </a:xfrm>
        <a:prstGeom prst="downArrow">
          <a:avLst/>
        </a:prstGeom>
        <a:solidFill>
          <a:sysClr val="window" lastClr="FFFFFF"/>
        </a:solidFill>
        <a:ln w="25400" cap="flat" cmpd="sng" algn="ctr">
          <a:solidFill>
            <a:sysClr val="windowText" lastClr="00000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ko-KR" altLang="en-US" sz="1400" b="1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 panose="020F0502020204030204"/>
            <a:ea typeface="맑은 고딕" panose="020B0503020000020004" pitchFamily="50" charset="-127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A8949-4496-48A9-9FA0-67F57C0A63DB}">
  <sheetPr codeName="Sheet1">
    <tabColor rgb="FF85D4BE"/>
  </sheetPr>
  <dimension ref="A1"/>
  <sheetViews>
    <sheetView showGridLines="0" workbookViewId="0">
      <selection activeCell="L4" sqref="L4"/>
    </sheetView>
  </sheetViews>
  <sheetFormatPr baseColWidth="10" defaultColWidth="8.83203125" defaultRowHeight="17"/>
  <sheetData/>
  <sheetProtection algorithmName="SHA-512" hashValue="J+Rl6EGCwlO44wgVaMr1007KC3aZoa7dWcHy+vwY7sBTWKzsaZF1PBAGjWmas/eM1bZvxOEBqlL6n80K9Z5+Vg==" saltValue="jPrUd6ppUhr0JxubX9Bpuw==" spinCount="100000" sheet="1" objects="1" scenarios="1"/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758B9-817D-44C8-B239-06D183A76E64}">
  <sheetPr codeName="Sheet5">
    <tabColor rgb="FFFFFF99"/>
  </sheetPr>
  <dimension ref="A1:AZ114"/>
  <sheetViews>
    <sheetView showGridLines="0" tabSelected="1" zoomScale="85" zoomScaleNormal="85" zoomScaleSheetLayoutView="100" workbookViewId="0">
      <pane ySplit="9" topLeftCell="A10" activePane="bottomLeft" state="frozen"/>
      <selection activeCell="E37" sqref="E37"/>
      <selection pane="bottomLeft" activeCell="C15" sqref="C15"/>
    </sheetView>
  </sheetViews>
  <sheetFormatPr baseColWidth="10" defaultColWidth="9" defaultRowHeight="14"/>
  <cols>
    <col min="1" max="1" width="5" style="144" customWidth="1"/>
    <col min="2" max="2" width="4.6640625" style="144" bestFit="1" customWidth="1"/>
    <col min="3" max="3" width="12.83203125" style="144" bestFit="1" customWidth="1"/>
    <col min="4" max="4" width="24.6640625" style="144" customWidth="1"/>
    <col min="5" max="5" width="18.6640625" style="144" customWidth="1"/>
    <col min="6" max="6" width="10.1640625" style="144" customWidth="1"/>
    <col min="7" max="7" width="13.6640625" style="144" customWidth="1"/>
    <col min="8" max="8" width="10.1640625" style="144" customWidth="1"/>
    <col min="9" max="9" width="39.1640625" style="144" customWidth="1"/>
    <col min="10" max="10" width="7.6640625" style="144" customWidth="1"/>
    <col min="11" max="11" width="10.5" style="144" customWidth="1"/>
    <col min="12" max="12" width="24.1640625" style="144" customWidth="1"/>
    <col min="13" max="13" width="27.1640625" style="144" customWidth="1"/>
    <col min="14" max="14" width="28.6640625" style="144" customWidth="1"/>
    <col min="15" max="16384" width="9" style="144"/>
  </cols>
  <sheetData>
    <row r="1" spans="1:52" ht="15.75" customHeight="1">
      <c r="A1" s="140" t="s">
        <v>152</v>
      </c>
      <c r="B1" s="141"/>
      <c r="C1" s="142" t="s">
        <v>179</v>
      </c>
      <c r="D1" s="143"/>
    </row>
    <row r="2" spans="1:52" ht="16.5" customHeight="1" thickBot="1">
      <c r="A2" s="145"/>
      <c r="B2" s="146"/>
      <c r="C2" s="147"/>
      <c r="D2" s="148"/>
    </row>
    <row r="3" spans="1:52" ht="16.5" customHeight="1">
      <c r="A3" s="145"/>
      <c r="B3" s="146"/>
      <c r="C3" s="149" t="s">
        <v>257</v>
      </c>
      <c r="D3" s="150"/>
    </row>
    <row r="4" spans="1:52" ht="16.5" customHeight="1">
      <c r="A4" s="145"/>
      <c r="B4" s="146"/>
      <c r="C4" s="151"/>
      <c r="D4" s="152"/>
    </row>
    <row r="5" spans="1:52" ht="16.5" customHeight="1">
      <c r="A5" s="145"/>
      <c r="B5" s="146"/>
      <c r="C5" s="151"/>
      <c r="D5" s="152"/>
      <c r="F5" s="153"/>
      <c r="G5" s="153"/>
    </row>
    <row r="6" spans="1:52" s="161" customFormat="1" ht="18" customHeight="1" thickBot="1">
      <c r="A6" s="154"/>
      <c r="B6" s="155"/>
      <c r="C6" s="156"/>
      <c r="D6" s="157"/>
      <c r="E6" s="158"/>
      <c r="F6" s="159"/>
      <c r="G6" s="159"/>
      <c r="H6" s="160"/>
      <c r="I6" s="160"/>
      <c r="J6" s="160"/>
      <c r="K6" s="160"/>
      <c r="L6" s="160"/>
      <c r="M6" s="160"/>
      <c r="N6" s="160"/>
      <c r="O6" s="144"/>
      <c r="P6" s="144"/>
      <c r="Q6" s="144"/>
      <c r="R6" s="144"/>
      <c r="S6" s="144"/>
      <c r="T6" s="144"/>
      <c r="U6" s="144"/>
      <c r="V6" s="144"/>
      <c r="W6" s="144"/>
      <c r="X6" s="144"/>
      <c r="Y6" s="144"/>
      <c r="Z6" s="144"/>
      <c r="AA6" s="144"/>
      <c r="AB6" s="144"/>
      <c r="AC6" s="144"/>
      <c r="AD6" s="144"/>
      <c r="AE6" s="144"/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  <c r="AX6" s="144"/>
      <c r="AY6" s="144"/>
      <c r="AZ6" s="144"/>
    </row>
    <row r="7" spans="1:52" s="161" customFormat="1" ht="9.75" customHeight="1" thickTop="1" thickBot="1">
      <c r="A7" s="162"/>
      <c r="B7" s="144"/>
      <c r="C7" s="163"/>
      <c r="D7" s="163"/>
      <c r="N7" s="144"/>
      <c r="O7" s="144"/>
      <c r="P7" s="144"/>
      <c r="Q7" s="144"/>
      <c r="R7" s="144"/>
      <c r="S7" s="144"/>
      <c r="T7" s="144"/>
      <c r="U7" s="144"/>
      <c r="V7" s="144"/>
      <c r="W7" s="144"/>
      <c r="X7" s="144"/>
      <c r="Y7" s="144"/>
      <c r="Z7" s="144"/>
      <c r="AA7" s="144"/>
      <c r="AB7" s="144"/>
      <c r="AC7" s="144"/>
      <c r="AD7" s="144"/>
      <c r="AE7" s="144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  <c r="AX7" s="144"/>
      <c r="AY7" s="144"/>
      <c r="AZ7" s="144"/>
    </row>
    <row r="8" spans="1:52" s="172" customFormat="1" ht="45.75" customHeight="1" thickBot="1">
      <c r="A8" s="164" t="s">
        <v>196</v>
      </c>
      <c r="B8" s="165"/>
      <c r="C8" s="166" t="s">
        <v>229</v>
      </c>
      <c r="D8" s="167"/>
      <c r="E8" s="167"/>
      <c r="F8" s="167"/>
      <c r="G8" s="167"/>
      <c r="H8" s="167"/>
      <c r="I8" s="168"/>
      <c r="J8" s="169" t="s">
        <v>230</v>
      </c>
      <c r="K8" s="170"/>
      <c r="L8" s="170"/>
      <c r="M8" s="171"/>
      <c r="N8" s="144"/>
      <c r="O8" s="144"/>
      <c r="P8" s="144"/>
      <c r="Q8" s="144"/>
      <c r="R8" s="144"/>
      <c r="S8" s="144"/>
      <c r="T8" s="144"/>
      <c r="U8" s="144"/>
      <c r="V8" s="144"/>
      <c r="W8" s="144"/>
      <c r="X8" s="144"/>
      <c r="Y8" s="144"/>
      <c r="Z8" s="144"/>
      <c r="AA8" s="144"/>
      <c r="AB8" s="144"/>
      <c r="AC8" s="144"/>
      <c r="AD8" s="144"/>
      <c r="AE8" s="144"/>
      <c r="AF8" s="144"/>
      <c r="AG8" s="144"/>
      <c r="AH8" s="144"/>
      <c r="AI8" s="144"/>
      <c r="AJ8" s="144"/>
      <c r="AK8" s="144"/>
      <c r="AL8" s="144"/>
      <c r="AM8" s="144"/>
      <c r="AN8" s="144"/>
      <c r="AO8" s="144"/>
      <c r="AP8" s="144"/>
      <c r="AQ8" s="144"/>
      <c r="AR8" s="144"/>
      <c r="AS8" s="144"/>
      <c r="AT8" s="144"/>
      <c r="AU8" s="144"/>
      <c r="AV8" s="144"/>
      <c r="AW8" s="144"/>
      <c r="AX8" s="144"/>
      <c r="AY8" s="144"/>
      <c r="AZ8" s="144"/>
    </row>
    <row r="9" spans="1:52" s="183" customFormat="1" ht="29.25" customHeight="1" thickBot="1">
      <c r="A9" s="173" t="s">
        <v>19</v>
      </c>
      <c r="B9" s="174"/>
      <c r="C9" s="175" t="s">
        <v>21</v>
      </c>
      <c r="D9" s="176" t="s">
        <v>180</v>
      </c>
      <c r="E9" s="177" t="s">
        <v>2</v>
      </c>
      <c r="F9" s="177" t="s">
        <v>4</v>
      </c>
      <c r="G9" s="176" t="s">
        <v>231</v>
      </c>
      <c r="H9" s="178" t="s">
        <v>5</v>
      </c>
      <c r="I9" s="179" t="s">
        <v>73</v>
      </c>
      <c r="J9" s="180" t="s">
        <v>7</v>
      </c>
      <c r="K9" s="180" t="s">
        <v>8</v>
      </c>
      <c r="L9" s="180" t="s">
        <v>9</v>
      </c>
      <c r="M9" s="181" t="s">
        <v>10</v>
      </c>
      <c r="N9" s="182" t="s">
        <v>162</v>
      </c>
      <c r="O9" s="144"/>
      <c r="P9" s="144"/>
      <c r="Q9" s="144"/>
      <c r="R9" s="144"/>
      <c r="S9" s="144"/>
      <c r="T9" s="144"/>
      <c r="U9" s="144"/>
      <c r="V9" s="144"/>
      <c r="W9" s="144"/>
      <c r="X9" s="144"/>
      <c r="Y9" s="144"/>
      <c r="Z9" s="144"/>
      <c r="AA9" s="144"/>
      <c r="AB9" s="144"/>
      <c r="AC9" s="144"/>
      <c r="AD9" s="144"/>
      <c r="AE9" s="144"/>
      <c r="AF9" s="144"/>
      <c r="AG9" s="144"/>
      <c r="AH9" s="144"/>
      <c r="AI9" s="144"/>
      <c r="AJ9" s="144"/>
      <c r="AK9" s="144"/>
      <c r="AL9" s="144"/>
      <c r="AM9" s="144"/>
      <c r="AN9" s="144"/>
      <c r="AO9" s="144"/>
      <c r="AP9" s="144"/>
      <c r="AQ9" s="144"/>
      <c r="AR9" s="144"/>
      <c r="AS9" s="144"/>
      <c r="AT9" s="144"/>
      <c r="AU9" s="144"/>
      <c r="AV9" s="144"/>
      <c r="AW9" s="144"/>
      <c r="AX9" s="144"/>
      <c r="AY9" s="144"/>
      <c r="AZ9" s="144"/>
    </row>
    <row r="10" spans="1:52" s="187" customFormat="1" ht="39.75" customHeight="1">
      <c r="A10" s="184" t="s">
        <v>195</v>
      </c>
      <c r="B10" s="185"/>
      <c r="C10" s="186" t="s">
        <v>141</v>
      </c>
      <c r="D10" s="186" t="s">
        <v>142</v>
      </c>
      <c r="E10" s="186" t="s">
        <v>144</v>
      </c>
      <c r="F10" s="89" t="s">
        <v>143</v>
      </c>
      <c r="G10" s="186" t="s">
        <v>144</v>
      </c>
      <c r="H10" s="89" t="s">
        <v>143</v>
      </c>
      <c r="I10" s="90" t="s">
        <v>150</v>
      </c>
      <c r="J10" s="186" t="s">
        <v>145</v>
      </c>
      <c r="K10" s="186" t="s">
        <v>146</v>
      </c>
      <c r="L10" s="186" t="s">
        <v>147</v>
      </c>
      <c r="M10" s="186" t="s">
        <v>142</v>
      </c>
      <c r="N10" s="91" t="s">
        <v>184</v>
      </c>
      <c r="O10" s="144"/>
      <c r="P10" s="144"/>
      <c r="Q10" s="144"/>
      <c r="R10" s="144"/>
      <c r="S10" s="144"/>
      <c r="T10" s="144"/>
      <c r="U10" s="144"/>
      <c r="V10" s="144"/>
      <c r="W10" s="144"/>
      <c r="X10" s="144"/>
      <c r="Y10" s="144"/>
      <c r="Z10" s="144"/>
      <c r="AA10" s="144"/>
      <c r="AB10" s="144"/>
      <c r="AC10" s="144"/>
      <c r="AD10" s="144"/>
      <c r="AE10" s="144"/>
      <c r="AF10" s="144"/>
      <c r="AG10" s="144"/>
      <c r="AH10" s="144"/>
      <c r="AI10" s="144"/>
      <c r="AJ10" s="144"/>
      <c r="AK10" s="144"/>
      <c r="AL10" s="144"/>
      <c r="AM10" s="144"/>
      <c r="AN10" s="144"/>
      <c r="AO10" s="144"/>
      <c r="AP10" s="144"/>
      <c r="AQ10" s="144"/>
      <c r="AR10" s="144"/>
      <c r="AS10" s="144"/>
      <c r="AT10" s="144"/>
      <c r="AU10" s="144"/>
      <c r="AV10" s="144"/>
      <c r="AW10" s="144"/>
      <c r="AX10" s="144"/>
      <c r="AY10" s="144"/>
      <c r="AZ10" s="144"/>
    </row>
    <row r="11" spans="1:52" s="192" customFormat="1" ht="17.25" customHeight="1" thickBot="1">
      <c r="A11" s="188" t="s">
        <v>198</v>
      </c>
      <c r="B11" s="188"/>
      <c r="C11" s="189">
        <v>45660</v>
      </c>
      <c r="D11" s="190" t="s">
        <v>228</v>
      </c>
      <c r="E11" s="190" t="s">
        <v>148</v>
      </c>
      <c r="F11" s="86">
        <v>30000</v>
      </c>
      <c r="G11" s="190" t="s">
        <v>199</v>
      </c>
      <c r="H11" s="86">
        <v>27000</v>
      </c>
      <c r="I11" s="87" t="str">
        <f>IF($E11="","",VLOOKUP($E11,비용지원안내!$B$5:$D$51,2,FALSE))</f>
        <v>시간, 지역, 참여자, 비고(초과근무시간)</v>
      </c>
      <c r="J11" s="191">
        <v>0.87708333333333333</v>
      </c>
      <c r="K11" s="190" t="s">
        <v>149</v>
      </c>
      <c r="L11" s="190" t="s">
        <v>232</v>
      </c>
      <c r="M11" s="190" t="s">
        <v>233</v>
      </c>
      <c r="N11" s="88" t="str">
        <f>IF($E11="","",VLOOKUP($E11,비용지원안내!$B$5:$D$51,3,FALSE))</f>
        <v>초과근무 1시간</v>
      </c>
      <c r="O11" s="144"/>
      <c r="P11" s="144"/>
      <c r="Q11" s="144"/>
      <c r="R11" s="144"/>
      <c r="S11" s="144"/>
      <c r="T11" s="144"/>
      <c r="U11" s="144"/>
      <c r="V11" s="144"/>
      <c r="W11" s="144"/>
      <c r="X11" s="144"/>
      <c r="Y11" s="144"/>
      <c r="Z11" s="144"/>
      <c r="AA11" s="144"/>
      <c r="AB11" s="144"/>
      <c r="AC11" s="144"/>
      <c r="AD11" s="144"/>
      <c r="AE11" s="144"/>
      <c r="AF11" s="144"/>
      <c r="AG11" s="144"/>
      <c r="AH11" s="144"/>
      <c r="AI11" s="144"/>
      <c r="AJ11" s="144"/>
      <c r="AK11" s="144"/>
      <c r="AL11" s="144"/>
      <c r="AM11" s="144"/>
      <c r="AN11" s="144"/>
      <c r="AO11" s="144"/>
      <c r="AP11" s="144"/>
      <c r="AQ11" s="144"/>
      <c r="AR11" s="144"/>
      <c r="AS11" s="144"/>
      <c r="AT11" s="144"/>
      <c r="AU11" s="144"/>
      <c r="AV11" s="144"/>
      <c r="AW11" s="144"/>
      <c r="AX11" s="144"/>
      <c r="AY11" s="144"/>
      <c r="AZ11" s="144"/>
    </row>
    <row r="12" spans="1:52" ht="6.75" customHeight="1" thickBot="1">
      <c r="I12" s="193"/>
    </row>
    <row r="13" spans="1:52" s="172" customFormat="1" ht="20.25" customHeight="1" thickBot="1">
      <c r="A13" s="194"/>
      <c r="B13" s="195" t="s">
        <v>253</v>
      </c>
      <c r="C13" s="196"/>
      <c r="D13" s="196"/>
      <c r="E13" s="196"/>
      <c r="F13" s="196"/>
      <c r="G13" s="196"/>
      <c r="H13" s="197"/>
      <c r="I13" s="198"/>
      <c r="J13" s="199"/>
      <c r="K13" s="199"/>
      <c r="L13" s="199"/>
      <c r="M13" s="200"/>
      <c r="N13" s="144"/>
      <c r="O13" s="144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  <c r="AH13" s="144"/>
      <c r="AI13" s="144"/>
      <c r="AJ13" s="144"/>
      <c r="AK13" s="144"/>
      <c r="AL13" s="144"/>
      <c r="AM13" s="144"/>
      <c r="AN13" s="144"/>
      <c r="AO13" s="144"/>
      <c r="AP13" s="144"/>
      <c r="AQ13" s="144"/>
      <c r="AR13" s="144"/>
      <c r="AS13" s="144"/>
      <c r="AT13" s="144"/>
      <c r="AU13" s="144"/>
      <c r="AV13" s="144"/>
      <c r="AW13" s="144"/>
      <c r="AX13" s="144"/>
      <c r="AY13" s="144"/>
      <c r="AZ13" s="144"/>
    </row>
    <row r="14" spans="1:52" s="206" customFormat="1" ht="28.5" customHeight="1">
      <c r="A14" s="194"/>
      <c r="B14" s="201" t="s">
        <v>0</v>
      </c>
      <c r="C14" s="201" t="s">
        <v>21</v>
      </c>
      <c r="D14" s="201" t="s">
        <v>1</v>
      </c>
      <c r="E14" s="201" t="s">
        <v>2</v>
      </c>
      <c r="F14" s="201" t="s">
        <v>4</v>
      </c>
      <c r="G14" s="202" t="s">
        <v>3</v>
      </c>
      <c r="H14" s="201" t="s">
        <v>5</v>
      </c>
      <c r="I14" s="203" t="s">
        <v>73</v>
      </c>
      <c r="J14" s="204" t="s">
        <v>223</v>
      </c>
      <c r="K14" s="204" t="s">
        <v>8</v>
      </c>
      <c r="L14" s="204" t="s">
        <v>9</v>
      </c>
      <c r="M14" s="205" t="s">
        <v>10</v>
      </c>
      <c r="N14" s="203" t="s">
        <v>162</v>
      </c>
      <c r="O14" s="144"/>
      <c r="P14" s="144"/>
      <c r="Q14" s="144"/>
      <c r="R14" s="144"/>
      <c r="S14" s="144"/>
      <c r="T14" s="144"/>
      <c r="U14" s="144"/>
      <c r="V14" s="144"/>
      <c r="W14" s="144"/>
      <c r="X14" s="144"/>
      <c r="Y14" s="144"/>
      <c r="Z14" s="144"/>
      <c r="AA14" s="144"/>
      <c r="AB14" s="144"/>
      <c r="AC14" s="144"/>
      <c r="AD14" s="144"/>
      <c r="AE14" s="144"/>
      <c r="AF14" s="144"/>
      <c r="AG14" s="144"/>
      <c r="AH14" s="144"/>
      <c r="AI14" s="144"/>
      <c r="AJ14" s="144"/>
      <c r="AK14" s="144"/>
      <c r="AL14" s="144"/>
      <c r="AM14" s="144"/>
      <c r="AN14" s="144"/>
      <c r="AO14" s="144"/>
      <c r="AP14" s="144"/>
      <c r="AQ14" s="144"/>
      <c r="AR14" s="144"/>
      <c r="AS14" s="144"/>
      <c r="AT14" s="144"/>
      <c r="AU14" s="144"/>
      <c r="AV14" s="144"/>
      <c r="AW14" s="144"/>
      <c r="AX14" s="144"/>
      <c r="AY14" s="144"/>
      <c r="AZ14" s="144"/>
    </row>
    <row r="15" spans="1:52">
      <c r="B15" s="207">
        <f>ROW()-14</f>
        <v>1</v>
      </c>
      <c r="C15" s="105"/>
      <c r="D15" s="106"/>
      <c r="E15" s="106"/>
      <c r="F15" s="107"/>
      <c r="G15" s="106"/>
      <c r="H15" s="107"/>
      <c r="I15" s="87" t="str">
        <f>IF($E15="","",VLOOKUP($E15,비용지원안내!$B$5:$D$51,2,FALSE))</f>
        <v/>
      </c>
      <c r="J15" s="108"/>
      <c r="K15" s="106"/>
      <c r="L15" s="106"/>
      <c r="M15" s="106"/>
      <c r="N15" s="38" t="str">
        <f>IF($E15="","",VLOOKUP($E15,비용지원안내!$B$5:$D$51,3,FALSE))</f>
        <v/>
      </c>
      <c r="Q15" s="208"/>
    </row>
    <row r="16" spans="1:52">
      <c r="B16" s="207">
        <f t="shared" ref="B16:B79" si="0">ROW()-14</f>
        <v>2</v>
      </c>
      <c r="C16" s="105"/>
      <c r="D16" s="106"/>
      <c r="E16" s="106"/>
      <c r="F16" s="107"/>
      <c r="G16" s="106"/>
      <c r="H16" s="107"/>
      <c r="I16" s="87" t="str">
        <f>IF($E16="","",VLOOKUP($E16,비용지원안내!$B$5:$D$51,2,FALSE))</f>
        <v/>
      </c>
      <c r="J16" s="108"/>
      <c r="K16" s="106"/>
      <c r="L16" s="106"/>
      <c r="M16" s="106"/>
      <c r="N16" s="38" t="str">
        <f>IF($E16="","",VLOOKUP($E16,비용지원안내!$B$5:$D$51,3,FALSE))</f>
        <v/>
      </c>
      <c r="Q16" s="208"/>
    </row>
    <row r="17" spans="2:17">
      <c r="B17" s="207">
        <f t="shared" si="0"/>
        <v>3</v>
      </c>
      <c r="C17" s="105"/>
      <c r="D17" s="106"/>
      <c r="E17" s="106"/>
      <c r="F17" s="107"/>
      <c r="G17" s="106"/>
      <c r="H17" s="107"/>
      <c r="I17" s="87" t="str">
        <f>IF($E17="","",VLOOKUP($E17,비용지원안내!$B$5:$D$51,2,FALSE))</f>
        <v/>
      </c>
      <c r="J17" s="108"/>
      <c r="K17" s="106"/>
      <c r="L17" s="106"/>
      <c r="M17" s="106"/>
      <c r="N17" s="38" t="str">
        <f>IF($E17="","",VLOOKUP($E17,비용지원안내!$B$5:$D$51,3,FALSE))</f>
        <v/>
      </c>
      <c r="Q17" s="208"/>
    </row>
    <row r="18" spans="2:17">
      <c r="B18" s="207">
        <f t="shared" si="0"/>
        <v>4</v>
      </c>
      <c r="C18" s="105"/>
      <c r="D18" s="106"/>
      <c r="E18" s="106"/>
      <c r="F18" s="107"/>
      <c r="G18" s="106"/>
      <c r="H18" s="107"/>
      <c r="I18" s="87" t="str">
        <f>IF($E18="","",VLOOKUP($E18,비용지원안내!$B$5:$D$51,2,FALSE))</f>
        <v/>
      </c>
      <c r="J18" s="108"/>
      <c r="K18" s="106"/>
      <c r="L18" s="106"/>
      <c r="M18" s="106"/>
      <c r="N18" s="38" t="str">
        <f>IF($E18="","",VLOOKUP($E18,비용지원안내!$B$5:$D$51,3,FALSE))</f>
        <v/>
      </c>
      <c r="Q18" s="208"/>
    </row>
    <row r="19" spans="2:17">
      <c r="B19" s="207">
        <f t="shared" si="0"/>
        <v>5</v>
      </c>
      <c r="C19" s="105"/>
      <c r="D19" s="106"/>
      <c r="E19" s="106"/>
      <c r="F19" s="107"/>
      <c r="G19" s="106"/>
      <c r="H19" s="107"/>
      <c r="I19" s="87" t="str">
        <f>IF($E19="","",VLOOKUP($E19,비용지원안내!$B$5:$D$51,2,FALSE))</f>
        <v/>
      </c>
      <c r="J19" s="108"/>
      <c r="K19" s="106"/>
      <c r="L19" s="106"/>
      <c r="M19" s="106"/>
      <c r="N19" s="38" t="str">
        <f>IF($E19="","",VLOOKUP($E19,비용지원안내!$B$5:$D$51,3,FALSE))</f>
        <v/>
      </c>
      <c r="Q19" s="208"/>
    </row>
    <row r="20" spans="2:17">
      <c r="B20" s="207">
        <f t="shared" si="0"/>
        <v>6</v>
      </c>
      <c r="C20" s="105"/>
      <c r="D20" s="106"/>
      <c r="E20" s="106"/>
      <c r="F20" s="107"/>
      <c r="G20" s="106"/>
      <c r="H20" s="107"/>
      <c r="I20" s="87" t="str">
        <f>IF($E20="","",VLOOKUP($E20,비용지원안내!$B$5:$D$51,2,FALSE))</f>
        <v/>
      </c>
      <c r="J20" s="108"/>
      <c r="K20" s="106"/>
      <c r="L20" s="106"/>
      <c r="M20" s="106"/>
      <c r="N20" s="38" t="str">
        <f>IF($E20="","",VLOOKUP($E20,비용지원안내!$B$5:$D$51,3,FALSE))</f>
        <v/>
      </c>
      <c r="Q20" s="208"/>
    </row>
    <row r="21" spans="2:17">
      <c r="B21" s="207">
        <f t="shared" si="0"/>
        <v>7</v>
      </c>
      <c r="C21" s="105"/>
      <c r="D21" s="106"/>
      <c r="E21" s="106"/>
      <c r="F21" s="107"/>
      <c r="G21" s="106"/>
      <c r="H21" s="107"/>
      <c r="I21" s="87" t="str">
        <f>IF($E21="","",VLOOKUP($E21,비용지원안내!$B$5:$D$51,2,FALSE))</f>
        <v/>
      </c>
      <c r="J21" s="108"/>
      <c r="K21" s="106"/>
      <c r="L21" s="106"/>
      <c r="M21" s="106"/>
      <c r="N21" s="38" t="str">
        <f>IF($E21="","",VLOOKUP($E21,비용지원안내!$B$5:$D$51,3,FALSE))</f>
        <v/>
      </c>
      <c r="Q21" s="208"/>
    </row>
    <row r="22" spans="2:17">
      <c r="B22" s="207">
        <f t="shared" si="0"/>
        <v>8</v>
      </c>
      <c r="C22" s="105"/>
      <c r="D22" s="106"/>
      <c r="E22" s="106"/>
      <c r="F22" s="107"/>
      <c r="G22" s="106"/>
      <c r="H22" s="107"/>
      <c r="I22" s="87" t="str">
        <f>IF($E22="","",VLOOKUP($E22,비용지원안내!$B$5:$D$51,2,FALSE))</f>
        <v/>
      </c>
      <c r="J22" s="108"/>
      <c r="K22" s="106"/>
      <c r="L22" s="106"/>
      <c r="M22" s="106"/>
      <c r="N22" s="38" t="str">
        <f>IF($E22="","",VLOOKUP($E22,비용지원안내!$B$5:$D$51,3,FALSE))</f>
        <v/>
      </c>
      <c r="Q22" s="208"/>
    </row>
    <row r="23" spans="2:17">
      <c r="B23" s="207">
        <f t="shared" si="0"/>
        <v>9</v>
      </c>
      <c r="C23" s="105"/>
      <c r="D23" s="106"/>
      <c r="E23" s="106"/>
      <c r="F23" s="107"/>
      <c r="G23" s="106"/>
      <c r="H23" s="107"/>
      <c r="I23" s="87" t="str">
        <f>IF($E23="","",VLOOKUP($E23,비용지원안내!$B$5:$D$51,2,FALSE))</f>
        <v/>
      </c>
      <c r="J23" s="108"/>
      <c r="K23" s="106"/>
      <c r="L23" s="106"/>
      <c r="M23" s="106"/>
      <c r="N23" s="38" t="str">
        <f>IF($E23="","",VLOOKUP($E23,비용지원안내!$B$5:$D$51,3,FALSE))</f>
        <v/>
      </c>
      <c r="Q23" s="208"/>
    </row>
    <row r="24" spans="2:17">
      <c r="B24" s="207">
        <f t="shared" si="0"/>
        <v>10</v>
      </c>
      <c r="C24" s="105"/>
      <c r="D24" s="106"/>
      <c r="E24" s="106"/>
      <c r="F24" s="107"/>
      <c r="G24" s="106"/>
      <c r="H24" s="107"/>
      <c r="I24" s="87" t="str">
        <f>IF($E24="","",VLOOKUP($E24,비용지원안내!$B$5:$D$51,2,FALSE))</f>
        <v/>
      </c>
      <c r="J24" s="108"/>
      <c r="K24" s="106"/>
      <c r="L24" s="106"/>
      <c r="M24" s="106"/>
      <c r="N24" s="38" t="str">
        <f>IF($E24="","",VLOOKUP($E24,비용지원안내!$B$5:$D$51,3,FALSE))</f>
        <v/>
      </c>
      <c r="Q24" s="208"/>
    </row>
    <row r="25" spans="2:17">
      <c r="B25" s="207">
        <f t="shared" si="0"/>
        <v>11</v>
      </c>
      <c r="C25" s="105"/>
      <c r="D25" s="106"/>
      <c r="E25" s="106"/>
      <c r="F25" s="107"/>
      <c r="G25" s="106"/>
      <c r="H25" s="107"/>
      <c r="I25" s="87" t="str">
        <f>IF($E25="","",VLOOKUP($E25,비용지원안내!$B$5:$D$51,2,FALSE))</f>
        <v/>
      </c>
      <c r="J25" s="108"/>
      <c r="K25" s="106"/>
      <c r="L25" s="106"/>
      <c r="M25" s="106"/>
      <c r="N25" s="38" t="str">
        <f>IF($E25="","",VLOOKUP($E25,비용지원안내!$B$5:$D$51,3,FALSE))</f>
        <v/>
      </c>
      <c r="Q25" s="208"/>
    </row>
    <row r="26" spans="2:17">
      <c r="B26" s="207">
        <f t="shared" si="0"/>
        <v>12</v>
      </c>
      <c r="C26" s="105"/>
      <c r="D26" s="106"/>
      <c r="E26" s="106"/>
      <c r="F26" s="107"/>
      <c r="G26" s="106"/>
      <c r="H26" s="107"/>
      <c r="I26" s="87" t="str">
        <f>IF($E26="","",VLOOKUP($E26,비용지원안내!$B$5:$D$51,2,FALSE))</f>
        <v/>
      </c>
      <c r="J26" s="108"/>
      <c r="K26" s="106"/>
      <c r="L26" s="106"/>
      <c r="M26" s="106"/>
      <c r="N26" s="38" t="str">
        <f>IF($E26="","",VLOOKUP($E26,비용지원안내!$B$5:$D$51,3,FALSE))</f>
        <v/>
      </c>
      <c r="Q26" s="208"/>
    </row>
    <row r="27" spans="2:17">
      <c r="B27" s="207">
        <f t="shared" si="0"/>
        <v>13</v>
      </c>
      <c r="C27" s="105"/>
      <c r="D27" s="106"/>
      <c r="E27" s="106"/>
      <c r="F27" s="107"/>
      <c r="G27" s="106"/>
      <c r="H27" s="107"/>
      <c r="I27" s="87" t="str">
        <f>IF($E27="","",VLOOKUP($E27,비용지원안내!$B$5:$D$51,2,FALSE))</f>
        <v/>
      </c>
      <c r="J27" s="108"/>
      <c r="K27" s="106"/>
      <c r="L27" s="106"/>
      <c r="M27" s="106"/>
      <c r="N27" s="38" t="str">
        <f>IF($E27="","",VLOOKUP($E27,비용지원안내!$B$5:$D$51,3,FALSE))</f>
        <v/>
      </c>
      <c r="Q27" s="208"/>
    </row>
    <row r="28" spans="2:17">
      <c r="B28" s="207">
        <f t="shared" si="0"/>
        <v>14</v>
      </c>
      <c r="C28" s="105"/>
      <c r="D28" s="106"/>
      <c r="E28" s="106"/>
      <c r="F28" s="107"/>
      <c r="G28" s="106"/>
      <c r="H28" s="107"/>
      <c r="I28" s="87" t="str">
        <f>IF($E28="","",VLOOKUP($E28,비용지원안내!$B$5:$D$51,2,FALSE))</f>
        <v/>
      </c>
      <c r="J28" s="108"/>
      <c r="K28" s="106"/>
      <c r="L28" s="106"/>
      <c r="M28" s="106"/>
      <c r="N28" s="38" t="str">
        <f>IF($E28="","",VLOOKUP($E28,비용지원안내!$B$5:$D$51,3,FALSE))</f>
        <v/>
      </c>
      <c r="Q28" s="208"/>
    </row>
    <row r="29" spans="2:17">
      <c r="B29" s="207">
        <f t="shared" si="0"/>
        <v>15</v>
      </c>
      <c r="C29" s="105"/>
      <c r="D29" s="106"/>
      <c r="E29" s="106"/>
      <c r="F29" s="107"/>
      <c r="G29" s="106"/>
      <c r="H29" s="107"/>
      <c r="I29" s="87" t="str">
        <f>IF($E29="","",VLOOKUP($E29,비용지원안내!$B$5:$D$51,2,FALSE))</f>
        <v/>
      </c>
      <c r="J29" s="108"/>
      <c r="K29" s="106"/>
      <c r="L29" s="106"/>
      <c r="M29" s="106"/>
      <c r="N29" s="38" t="str">
        <f>IF($E29="","",VLOOKUP($E29,비용지원안내!$B$5:$D$51,3,FALSE))</f>
        <v/>
      </c>
      <c r="Q29" s="208"/>
    </row>
    <row r="30" spans="2:17">
      <c r="B30" s="207">
        <f t="shared" si="0"/>
        <v>16</v>
      </c>
      <c r="C30" s="105"/>
      <c r="D30" s="106"/>
      <c r="E30" s="106"/>
      <c r="F30" s="107"/>
      <c r="G30" s="106"/>
      <c r="H30" s="107"/>
      <c r="I30" s="87" t="str">
        <f>IF($E30="","",VLOOKUP($E30,비용지원안내!$B$5:$D$51,2,FALSE))</f>
        <v/>
      </c>
      <c r="J30" s="108"/>
      <c r="K30" s="106"/>
      <c r="L30" s="106"/>
      <c r="M30" s="106"/>
      <c r="N30" s="38" t="str">
        <f>IF($E30="","",VLOOKUP($E30,비용지원안내!$B$5:$D$51,3,FALSE))</f>
        <v/>
      </c>
      <c r="Q30" s="208"/>
    </row>
    <row r="31" spans="2:17">
      <c r="B31" s="207">
        <f t="shared" si="0"/>
        <v>17</v>
      </c>
      <c r="C31" s="105"/>
      <c r="D31" s="106"/>
      <c r="E31" s="106"/>
      <c r="F31" s="107"/>
      <c r="G31" s="106"/>
      <c r="H31" s="107"/>
      <c r="I31" s="87" t="str">
        <f>IF($E31="","",VLOOKUP($E31,비용지원안내!$B$5:$D$51,2,FALSE))</f>
        <v/>
      </c>
      <c r="J31" s="108"/>
      <c r="K31" s="106"/>
      <c r="L31" s="106"/>
      <c r="M31" s="106"/>
      <c r="N31" s="38" t="str">
        <f>IF($E31="","",VLOOKUP($E31,비용지원안내!$B$5:$D$51,3,FALSE))</f>
        <v/>
      </c>
      <c r="Q31" s="208"/>
    </row>
    <row r="32" spans="2:17">
      <c r="B32" s="207">
        <f t="shared" si="0"/>
        <v>18</v>
      </c>
      <c r="C32" s="105"/>
      <c r="D32" s="106"/>
      <c r="E32" s="106"/>
      <c r="F32" s="107"/>
      <c r="G32" s="106"/>
      <c r="H32" s="107"/>
      <c r="I32" s="87" t="str">
        <f>IF($E32="","",VLOOKUP($E32,비용지원안내!$B$5:$D$51,2,FALSE))</f>
        <v/>
      </c>
      <c r="J32" s="108"/>
      <c r="K32" s="106"/>
      <c r="L32" s="106"/>
      <c r="M32" s="106"/>
      <c r="N32" s="38" t="str">
        <f>IF($E32="","",VLOOKUP($E32,비용지원안내!$B$5:$D$51,3,FALSE))</f>
        <v/>
      </c>
      <c r="Q32" s="208"/>
    </row>
    <row r="33" spans="2:14">
      <c r="B33" s="207">
        <f t="shared" si="0"/>
        <v>19</v>
      </c>
      <c r="C33" s="105"/>
      <c r="D33" s="106"/>
      <c r="E33" s="106"/>
      <c r="F33" s="107"/>
      <c r="G33" s="106"/>
      <c r="H33" s="107"/>
      <c r="I33" s="87" t="str">
        <f>IF($E33="","",VLOOKUP($E33,비용지원안내!$B$5:$D$51,2,FALSE))</f>
        <v/>
      </c>
      <c r="J33" s="108"/>
      <c r="K33" s="106"/>
      <c r="L33" s="106"/>
      <c r="M33" s="106"/>
      <c r="N33" s="38" t="str">
        <f>IF($E33="","",VLOOKUP($E33,비용지원안내!$B$5:$D$51,3,FALSE))</f>
        <v/>
      </c>
    </row>
    <row r="34" spans="2:14">
      <c r="B34" s="207">
        <f t="shared" si="0"/>
        <v>20</v>
      </c>
      <c r="C34" s="105"/>
      <c r="D34" s="106"/>
      <c r="E34" s="106"/>
      <c r="F34" s="107"/>
      <c r="G34" s="106"/>
      <c r="H34" s="107"/>
      <c r="I34" s="87" t="str">
        <f>IF($E34="","",VLOOKUP($E34,비용지원안내!$B$5:$D$51,2,FALSE))</f>
        <v/>
      </c>
      <c r="J34" s="108"/>
      <c r="K34" s="106"/>
      <c r="L34" s="106"/>
      <c r="M34" s="106"/>
      <c r="N34" s="38" t="str">
        <f>IF($E34="","",VLOOKUP($E34,비용지원안내!$B$5:$D$51,3,FALSE))</f>
        <v/>
      </c>
    </row>
    <row r="35" spans="2:14">
      <c r="B35" s="207">
        <f t="shared" si="0"/>
        <v>21</v>
      </c>
      <c r="C35" s="105"/>
      <c r="D35" s="106"/>
      <c r="E35" s="106"/>
      <c r="F35" s="107"/>
      <c r="G35" s="106"/>
      <c r="H35" s="107"/>
      <c r="I35" s="87" t="str">
        <f>IF($E35="","",VLOOKUP($E35,비용지원안내!$B$5:$D$51,2,FALSE))</f>
        <v/>
      </c>
      <c r="J35" s="108"/>
      <c r="K35" s="106"/>
      <c r="L35" s="106"/>
      <c r="M35" s="106"/>
      <c r="N35" s="38" t="str">
        <f>IF($E35="","",VLOOKUP($E35,비용지원안내!$B$5:$D$51,3,FALSE))</f>
        <v/>
      </c>
    </row>
    <row r="36" spans="2:14">
      <c r="B36" s="207">
        <f t="shared" si="0"/>
        <v>22</v>
      </c>
      <c r="C36" s="105"/>
      <c r="D36" s="106"/>
      <c r="E36" s="106"/>
      <c r="F36" s="107"/>
      <c r="G36" s="106"/>
      <c r="H36" s="107"/>
      <c r="I36" s="87" t="str">
        <f>IF($E36="","",VLOOKUP($E36,비용지원안내!$B$5:$D$51,2,FALSE))</f>
        <v/>
      </c>
      <c r="J36" s="108"/>
      <c r="K36" s="106"/>
      <c r="L36" s="106"/>
      <c r="M36" s="106"/>
      <c r="N36" s="38" t="str">
        <f>IF($E36="","",VLOOKUP($E36,비용지원안내!$B$5:$D$51,3,FALSE))</f>
        <v/>
      </c>
    </row>
    <row r="37" spans="2:14">
      <c r="B37" s="207">
        <f t="shared" si="0"/>
        <v>23</v>
      </c>
      <c r="C37" s="105"/>
      <c r="D37" s="106"/>
      <c r="E37" s="106"/>
      <c r="F37" s="107"/>
      <c r="G37" s="106"/>
      <c r="H37" s="107"/>
      <c r="I37" s="87" t="str">
        <f>IF($E37="","",VLOOKUP($E37,비용지원안내!$B$5:$D$51,2,FALSE))</f>
        <v/>
      </c>
      <c r="J37" s="108"/>
      <c r="K37" s="106"/>
      <c r="L37" s="106"/>
      <c r="M37" s="106"/>
      <c r="N37" s="38" t="str">
        <f>IF($E37="","",VLOOKUP($E37,비용지원안내!$B$5:$D$51,3,FALSE))</f>
        <v/>
      </c>
    </row>
    <row r="38" spans="2:14">
      <c r="B38" s="207">
        <f t="shared" si="0"/>
        <v>24</v>
      </c>
      <c r="C38" s="105"/>
      <c r="D38" s="106"/>
      <c r="E38" s="106"/>
      <c r="F38" s="107"/>
      <c r="G38" s="106"/>
      <c r="H38" s="107"/>
      <c r="I38" s="87" t="str">
        <f>IF($E38="","",VLOOKUP($E38,비용지원안내!$B$5:$D$51,2,FALSE))</f>
        <v/>
      </c>
      <c r="J38" s="108"/>
      <c r="K38" s="106"/>
      <c r="L38" s="106"/>
      <c r="M38" s="106"/>
      <c r="N38" s="38" t="str">
        <f>IF($E38="","",VLOOKUP($E38,비용지원안내!$B$5:$D$51,3,FALSE))</f>
        <v/>
      </c>
    </row>
    <row r="39" spans="2:14">
      <c r="B39" s="207">
        <f t="shared" si="0"/>
        <v>25</v>
      </c>
      <c r="C39" s="105"/>
      <c r="D39" s="106"/>
      <c r="E39" s="106"/>
      <c r="F39" s="107"/>
      <c r="G39" s="106"/>
      <c r="H39" s="107"/>
      <c r="I39" s="87" t="str">
        <f>IF($E39="","",VLOOKUP($E39,비용지원안내!$B$5:$D$51,2,FALSE))</f>
        <v/>
      </c>
      <c r="J39" s="108"/>
      <c r="K39" s="106"/>
      <c r="L39" s="106"/>
      <c r="M39" s="106"/>
      <c r="N39" s="38" t="str">
        <f>IF($E39="","",VLOOKUP($E39,비용지원안내!$B$5:$D$51,3,FALSE))</f>
        <v/>
      </c>
    </row>
    <row r="40" spans="2:14">
      <c r="B40" s="207">
        <f t="shared" si="0"/>
        <v>26</v>
      </c>
      <c r="C40" s="105"/>
      <c r="D40" s="106"/>
      <c r="E40" s="106"/>
      <c r="F40" s="107"/>
      <c r="G40" s="106"/>
      <c r="H40" s="107"/>
      <c r="I40" s="87" t="str">
        <f>IF($E40="","",VLOOKUP($E40,비용지원안내!$B$5:$D$51,2,FALSE))</f>
        <v/>
      </c>
      <c r="J40" s="108"/>
      <c r="K40" s="106"/>
      <c r="L40" s="106"/>
      <c r="M40" s="106"/>
      <c r="N40" s="38" t="str">
        <f>IF($E40="","",VLOOKUP($E40,비용지원안내!$B$5:$D$51,3,FALSE))</f>
        <v/>
      </c>
    </row>
    <row r="41" spans="2:14">
      <c r="B41" s="207">
        <f t="shared" si="0"/>
        <v>27</v>
      </c>
      <c r="C41" s="105"/>
      <c r="D41" s="106"/>
      <c r="E41" s="106"/>
      <c r="F41" s="107"/>
      <c r="G41" s="106"/>
      <c r="H41" s="107"/>
      <c r="I41" s="87" t="str">
        <f>IF($E41="","",VLOOKUP($E41,비용지원안내!$B$5:$D$51,2,FALSE))</f>
        <v/>
      </c>
      <c r="J41" s="108"/>
      <c r="K41" s="106"/>
      <c r="L41" s="106"/>
      <c r="M41" s="106"/>
      <c r="N41" s="38" t="str">
        <f>IF($E41="","",VLOOKUP($E41,비용지원안내!$B$5:$D$51,3,FALSE))</f>
        <v/>
      </c>
    </row>
    <row r="42" spans="2:14">
      <c r="B42" s="207">
        <f t="shared" si="0"/>
        <v>28</v>
      </c>
      <c r="C42" s="105"/>
      <c r="D42" s="106"/>
      <c r="E42" s="106"/>
      <c r="F42" s="107"/>
      <c r="G42" s="106"/>
      <c r="H42" s="107"/>
      <c r="I42" s="87" t="str">
        <f>IF($E42="","",VLOOKUP($E42,비용지원안내!$B$5:$D$51,2,FALSE))</f>
        <v/>
      </c>
      <c r="J42" s="108"/>
      <c r="K42" s="106"/>
      <c r="L42" s="106"/>
      <c r="M42" s="106"/>
      <c r="N42" s="38" t="str">
        <f>IF($E42="","",VLOOKUP($E42,비용지원안내!$B$5:$D$51,3,FALSE))</f>
        <v/>
      </c>
    </row>
    <row r="43" spans="2:14">
      <c r="B43" s="207">
        <f t="shared" si="0"/>
        <v>29</v>
      </c>
      <c r="C43" s="105"/>
      <c r="D43" s="106"/>
      <c r="E43" s="106"/>
      <c r="F43" s="107"/>
      <c r="G43" s="106"/>
      <c r="H43" s="107"/>
      <c r="I43" s="87" t="str">
        <f>IF($E43="","",VLOOKUP($E43,비용지원안내!$B$5:$D$51,2,FALSE))</f>
        <v/>
      </c>
      <c r="J43" s="108"/>
      <c r="K43" s="106"/>
      <c r="L43" s="106"/>
      <c r="M43" s="106"/>
      <c r="N43" s="38" t="str">
        <f>IF($E43="","",VLOOKUP($E43,비용지원안내!$B$5:$D$51,3,FALSE))</f>
        <v/>
      </c>
    </row>
    <row r="44" spans="2:14">
      <c r="B44" s="207">
        <f t="shared" si="0"/>
        <v>30</v>
      </c>
      <c r="C44" s="105"/>
      <c r="D44" s="106"/>
      <c r="E44" s="106"/>
      <c r="F44" s="107"/>
      <c r="G44" s="106"/>
      <c r="H44" s="107"/>
      <c r="I44" s="87" t="str">
        <f>IF($E44="","",VLOOKUP($E44,비용지원안내!$B$5:$D$51,2,FALSE))</f>
        <v/>
      </c>
      <c r="J44" s="108"/>
      <c r="K44" s="106"/>
      <c r="L44" s="106"/>
      <c r="M44" s="106"/>
      <c r="N44" s="38" t="str">
        <f>IF($E44="","",VLOOKUP($E44,비용지원안내!$B$5:$D$51,3,FALSE))</f>
        <v/>
      </c>
    </row>
    <row r="45" spans="2:14">
      <c r="B45" s="207">
        <f t="shared" si="0"/>
        <v>31</v>
      </c>
      <c r="C45" s="105"/>
      <c r="D45" s="106"/>
      <c r="E45" s="106"/>
      <c r="F45" s="107"/>
      <c r="G45" s="106"/>
      <c r="H45" s="107"/>
      <c r="I45" s="87" t="str">
        <f>IF($E45="","",VLOOKUP($E45,비용지원안내!$B$5:$D$51,2,FALSE))</f>
        <v/>
      </c>
      <c r="J45" s="108"/>
      <c r="K45" s="106"/>
      <c r="L45" s="106"/>
      <c r="M45" s="106"/>
      <c r="N45" s="38" t="str">
        <f>IF($E45="","",VLOOKUP($E45,비용지원안내!$B$5:$D$51,3,FALSE))</f>
        <v/>
      </c>
    </row>
    <row r="46" spans="2:14">
      <c r="B46" s="207">
        <f t="shared" si="0"/>
        <v>32</v>
      </c>
      <c r="C46" s="105"/>
      <c r="D46" s="106"/>
      <c r="E46" s="106"/>
      <c r="F46" s="107"/>
      <c r="G46" s="106"/>
      <c r="H46" s="107"/>
      <c r="I46" s="87" t="str">
        <f>IF($E46="","",VLOOKUP($E46,비용지원안내!$B$5:$D$51,2,FALSE))</f>
        <v/>
      </c>
      <c r="J46" s="108"/>
      <c r="K46" s="106"/>
      <c r="L46" s="106"/>
      <c r="M46" s="106"/>
      <c r="N46" s="38" t="str">
        <f>IF($E46="","",VLOOKUP($E46,비용지원안내!$B$5:$D$51,3,FALSE))</f>
        <v/>
      </c>
    </row>
    <row r="47" spans="2:14">
      <c r="B47" s="207">
        <f t="shared" si="0"/>
        <v>33</v>
      </c>
      <c r="C47" s="105"/>
      <c r="D47" s="106"/>
      <c r="E47" s="106"/>
      <c r="F47" s="107"/>
      <c r="G47" s="106"/>
      <c r="H47" s="107"/>
      <c r="I47" s="87" t="str">
        <f>IF($E47="","",VLOOKUP($E47,비용지원안내!$B$5:$D$51,2,FALSE))</f>
        <v/>
      </c>
      <c r="J47" s="108"/>
      <c r="K47" s="106"/>
      <c r="L47" s="106"/>
      <c r="M47" s="106"/>
      <c r="N47" s="38" t="str">
        <f>IF($E47="","",VLOOKUP($E47,비용지원안내!$B$5:$D$51,3,FALSE))</f>
        <v/>
      </c>
    </row>
    <row r="48" spans="2:14">
      <c r="B48" s="207">
        <f t="shared" si="0"/>
        <v>34</v>
      </c>
      <c r="C48" s="105"/>
      <c r="D48" s="106"/>
      <c r="E48" s="106"/>
      <c r="F48" s="107"/>
      <c r="G48" s="106"/>
      <c r="H48" s="107"/>
      <c r="I48" s="87" t="str">
        <f>IF($E48="","",VLOOKUP($E48,비용지원안내!$B$5:$D$51,2,FALSE))</f>
        <v/>
      </c>
      <c r="J48" s="108"/>
      <c r="K48" s="106"/>
      <c r="L48" s="106"/>
      <c r="M48" s="106"/>
      <c r="N48" s="38" t="str">
        <f>IF($E48="","",VLOOKUP($E48,비용지원안내!$B$5:$D$51,3,FALSE))</f>
        <v/>
      </c>
    </row>
    <row r="49" spans="2:14">
      <c r="B49" s="207">
        <f t="shared" si="0"/>
        <v>35</v>
      </c>
      <c r="C49" s="105"/>
      <c r="D49" s="106"/>
      <c r="E49" s="106"/>
      <c r="F49" s="107"/>
      <c r="G49" s="106"/>
      <c r="H49" s="107"/>
      <c r="I49" s="87" t="str">
        <f>IF($E49="","",VLOOKUP($E49,비용지원안내!$B$5:$D$51,2,FALSE))</f>
        <v/>
      </c>
      <c r="J49" s="108"/>
      <c r="K49" s="106"/>
      <c r="L49" s="106"/>
      <c r="M49" s="106"/>
      <c r="N49" s="38" t="str">
        <f>IF($E49="","",VLOOKUP($E49,비용지원안내!$B$5:$D$51,3,FALSE))</f>
        <v/>
      </c>
    </row>
    <row r="50" spans="2:14">
      <c r="B50" s="207">
        <f t="shared" si="0"/>
        <v>36</v>
      </c>
      <c r="C50" s="105"/>
      <c r="D50" s="106"/>
      <c r="E50" s="106"/>
      <c r="F50" s="107"/>
      <c r="G50" s="106"/>
      <c r="H50" s="107"/>
      <c r="I50" s="87" t="str">
        <f>IF($E50="","",VLOOKUP($E50,비용지원안내!$B$5:$D$51,2,FALSE))</f>
        <v/>
      </c>
      <c r="J50" s="108"/>
      <c r="K50" s="106"/>
      <c r="L50" s="106"/>
      <c r="M50" s="106"/>
      <c r="N50" s="38" t="str">
        <f>IF($E50="","",VLOOKUP($E50,비용지원안내!$B$5:$D$51,3,FALSE))</f>
        <v/>
      </c>
    </row>
    <row r="51" spans="2:14">
      <c r="B51" s="207">
        <f t="shared" si="0"/>
        <v>37</v>
      </c>
      <c r="C51" s="105"/>
      <c r="D51" s="106"/>
      <c r="E51" s="106"/>
      <c r="F51" s="107"/>
      <c r="G51" s="106"/>
      <c r="H51" s="107"/>
      <c r="I51" s="87" t="str">
        <f>IF($E51="","",VLOOKUP($E51,비용지원안내!$B$5:$D$51,2,FALSE))</f>
        <v/>
      </c>
      <c r="J51" s="108"/>
      <c r="K51" s="106"/>
      <c r="L51" s="106"/>
      <c r="M51" s="106"/>
      <c r="N51" s="38" t="str">
        <f>IF($E51="","",VLOOKUP($E51,비용지원안내!$B$5:$D$51,3,FALSE))</f>
        <v/>
      </c>
    </row>
    <row r="52" spans="2:14">
      <c r="B52" s="207">
        <f t="shared" si="0"/>
        <v>38</v>
      </c>
      <c r="C52" s="105"/>
      <c r="D52" s="106"/>
      <c r="E52" s="106"/>
      <c r="F52" s="107"/>
      <c r="G52" s="106"/>
      <c r="H52" s="107"/>
      <c r="I52" s="87" t="str">
        <f>IF($E52="","",VLOOKUP($E52,비용지원안내!$B$5:$D$51,2,FALSE))</f>
        <v/>
      </c>
      <c r="J52" s="108"/>
      <c r="K52" s="106"/>
      <c r="L52" s="106"/>
      <c r="M52" s="106"/>
      <c r="N52" s="38" t="str">
        <f>IF($E52="","",VLOOKUP($E52,비용지원안내!$B$5:$D$51,3,FALSE))</f>
        <v/>
      </c>
    </row>
    <row r="53" spans="2:14">
      <c r="B53" s="207">
        <f t="shared" si="0"/>
        <v>39</v>
      </c>
      <c r="C53" s="105"/>
      <c r="D53" s="106"/>
      <c r="E53" s="106"/>
      <c r="F53" s="107"/>
      <c r="G53" s="106"/>
      <c r="H53" s="107"/>
      <c r="I53" s="87" t="str">
        <f>IF($E53="","",VLOOKUP($E53,비용지원안내!$B$5:$D$51,2,FALSE))</f>
        <v/>
      </c>
      <c r="J53" s="108"/>
      <c r="K53" s="106"/>
      <c r="L53" s="106"/>
      <c r="M53" s="106"/>
      <c r="N53" s="38" t="str">
        <f>IF($E53="","",VLOOKUP($E53,비용지원안내!$B$5:$D$51,3,FALSE))</f>
        <v/>
      </c>
    </row>
    <row r="54" spans="2:14">
      <c r="B54" s="207">
        <f t="shared" si="0"/>
        <v>40</v>
      </c>
      <c r="C54" s="105"/>
      <c r="D54" s="106"/>
      <c r="E54" s="106"/>
      <c r="F54" s="107"/>
      <c r="G54" s="106"/>
      <c r="H54" s="107"/>
      <c r="I54" s="87" t="str">
        <f>IF($E54="","",VLOOKUP($E54,비용지원안내!$B$5:$D$51,2,FALSE))</f>
        <v/>
      </c>
      <c r="J54" s="108"/>
      <c r="K54" s="106"/>
      <c r="L54" s="106"/>
      <c r="M54" s="106"/>
      <c r="N54" s="38" t="str">
        <f>IF($E54="","",VLOOKUP($E54,비용지원안내!$B$5:$D$51,3,FALSE))</f>
        <v/>
      </c>
    </row>
    <row r="55" spans="2:14">
      <c r="B55" s="207">
        <f t="shared" si="0"/>
        <v>41</v>
      </c>
      <c r="C55" s="105"/>
      <c r="D55" s="106"/>
      <c r="E55" s="106"/>
      <c r="F55" s="107"/>
      <c r="G55" s="106"/>
      <c r="H55" s="107"/>
      <c r="I55" s="87" t="str">
        <f>IF($E55="","",VLOOKUP($E55,비용지원안내!$B$5:$D$51,2,FALSE))</f>
        <v/>
      </c>
      <c r="J55" s="108"/>
      <c r="K55" s="106"/>
      <c r="L55" s="106"/>
      <c r="M55" s="106"/>
      <c r="N55" s="38" t="str">
        <f>IF($E55="","",VLOOKUP($E55,비용지원안내!$B$5:$D$51,3,FALSE))</f>
        <v/>
      </c>
    </row>
    <row r="56" spans="2:14">
      <c r="B56" s="207">
        <f t="shared" si="0"/>
        <v>42</v>
      </c>
      <c r="C56" s="105"/>
      <c r="D56" s="106"/>
      <c r="E56" s="106"/>
      <c r="F56" s="107"/>
      <c r="G56" s="106"/>
      <c r="H56" s="107"/>
      <c r="I56" s="87" t="str">
        <f>IF($E56="","",VLOOKUP($E56,비용지원안내!$B$5:$D$51,2,FALSE))</f>
        <v/>
      </c>
      <c r="J56" s="108"/>
      <c r="K56" s="106"/>
      <c r="L56" s="106"/>
      <c r="M56" s="106"/>
      <c r="N56" s="38" t="str">
        <f>IF($E56="","",VLOOKUP($E56,비용지원안내!$B$5:$D$51,3,FALSE))</f>
        <v/>
      </c>
    </row>
    <row r="57" spans="2:14">
      <c r="B57" s="207">
        <f t="shared" si="0"/>
        <v>43</v>
      </c>
      <c r="C57" s="105"/>
      <c r="D57" s="106"/>
      <c r="E57" s="106"/>
      <c r="F57" s="107"/>
      <c r="G57" s="106"/>
      <c r="H57" s="107"/>
      <c r="I57" s="87" t="str">
        <f>IF($E57="","",VLOOKUP($E57,비용지원안내!$B$5:$D$51,2,FALSE))</f>
        <v/>
      </c>
      <c r="J57" s="108"/>
      <c r="K57" s="106"/>
      <c r="L57" s="106"/>
      <c r="M57" s="106"/>
      <c r="N57" s="38" t="str">
        <f>IF($E57="","",VLOOKUP($E57,비용지원안내!$B$5:$D$51,3,FALSE))</f>
        <v/>
      </c>
    </row>
    <row r="58" spans="2:14">
      <c r="B58" s="207">
        <f t="shared" si="0"/>
        <v>44</v>
      </c>
      <c r="C58" s="105"/>
      <c r="D58" s="106"/>
      <c r="E58" s="106"/>
      <c r="F58" s="107"/>
      <c r="G58" s="106"/>
      <c r="H58" s="107"/>
      <c r="I58" s="87" t="str">
        <f>IF($E58="","",VLOOKUP($E58,비용지원안내!$B$5:$D$51,2,FALSE))</f>
        <v/>
      </c>
      <c r="J58" s="108"/>
      <c r="K58" s="106"/>
      <c r="L58" s="106"/>
      <c r="M58" s="106"/>
      <c r="N58" s="38" t="str">
        <f>IF($E58="","",VLOOKUP($E58,비용지원안내!$B$5:$D$51,3,FALSE))</f>
        <v/>
      </c>
    </row>
    <row r="59" spans="2:14">
      <c r="B59" s="207">
        <f t="shared" si="0"/>
        <v>45</v>
      </c>
      <c r="C59" s="105"/>
      <c r="D59" s="106"/>
      <c r="E59" s="106"/>
      <c r="F59" s="107"/>
      <c r="G59" s="106"/>
      <c r="H59" s="107"/>
      <c r="I59" s="87" t="str">
        <f>IF($E59="","",VLOOKUP($E59,비용지원안내!$B$5:$D$51,2,FALSE))</f>
        <v/>
      </c>
      <c r="J59" s="108"/>
      <c r="K59" s="106"/>
      <c r="L59" s="106"/>
      <c r="M59" s="106"/>
      <c r="N59" s="38" t="str">
        <f>IF($E59="","",VLOOKUP($E59,비용지원안내!$B$5:$D$51,3,FALSE))</f>
        <v/>
      </c>
    </row>
    <row r="60" spans="2:14">
      <c r="B60" s="207">
        <f t="shared" si="0"/>
        <v>46</v>
      </c>
      <c r="C60" s="105"/>
      <c r="D60" s="106"/>
      <c r="E60" s="106"/>
      <c r="F60" s="107"/>
      <c r="G60" s="106"/>
      <c r="H60" s="107"/>
      <c r="I60" s="87" t="str">
        <f>IF($E60="","",VLOOKUP($E60,비용지원안내!$B$5:$D$51,2,FALSE))</f>
        <v/>
      </c>
      <c r="J60" s="108"/>
      <c r="K60" s="106"/>
      <c r="L60" s="106"/>
      <c r="M60" s="106"/>
      <c r="N60" s="38" t="str">
        <f>IF($E60="","",VLOOKUP($E60,비용지원안내!$B$5:$D$51,3,FALSE))</f>
        <v/>
      </c>
    </row>
    <row r="61" spans="2:14">
      <c r="B61" s="207">
        <f t="shared" si="0"/>
        <v>47</v>
      </c>
      <c r="C61" s="105"/>
      <c r="D61" s="106"/>
      <c r="E61" s="106"/>
      <c r="F61" s="107"/>
      <c r="G61" s="106"/>
      <c r="H61" s="107"/>
      <c r="I61" s="87" t="str">
        <f>IF($E61="","",VLOOKUP($E61,비용지원안내!$B$5:$D$51,2,FALSE))</f>
        <v/>
      </c>
      <c r="J61" s="108"/>
      <c r="K61" s="106"/>
      <c r="L61" s="106"/>
      <c r="M61" s="106"/>
      <c r="N61" s="38" t="str">
        <f>IF($E61="","",VLOOKUP($E61,비용지원안내!$B$5:$D$51,3,FALSE))</f>
        <v/>
      </c>
    </row>
    <row r="62" spans="2:14">
      <c r="B62" s="207">
        <f t="shared" si="0"/>
        <v>48</v>
      </c>
      <c r="C62" s="105"/>
      <c r="D62" s="106"/>
      <c r="E62" s="106"/>
      <c r="F62" s="107"/>
      <c r="G62" s="106"/>
      <c r="H62" s="107"/>
      <c r="I62" s="87" t="str">
        <f>IF($E62="","",VLOOKUP($E62,비용지원안내!$B$5:$D$51,2,FALSE))</f>
        <v/>
      </c>
      <c r="J62" s="108"/>
      <c r="K62" s="106"/>
      <c r="L62" s="106"/>
      <c r="M62" s="106"/>
      <c r="N62" s="38" t="str">
        <f>IF($E62="","",VLOOKUP($E62,비용지원안내!$B$5:$D$51,3,FALSE))</f>
        <v/>
      </c>
    </row>
    <row r="63" spans="2:14">
      <c r="B63" s="207">
        <f t="shared" si="0"/>
        <v>49</v>
      </c>
      <c r="C63" s="105"/>
      <c r="D63" s="106"/>
      <c r="E63" s="106"/>
      <c r="F63" s="107"/>
      <c r="G63" s="106"/>
      <c r="H63" s="107"/>
      <c r="I63" s="87" t="str">
        <f>IF($E63="","",VLOOKUP($E63,비용지원안내!$B$5:$D$51,2,FALSE))</f>
        <v/>
      </c>
      <c r="J63" s="108"/>
      <c r="K63" s="106"/>
      <c r="L63" s="106"/>
      <c r="M63" s="106"/>
      <c r="N63" s="38" t="str">
        <f>IF($E63="","",VLOOKUP($E63,비용지원안내!$B$5:$D$51,3,FALSE))</f>
        <v/>
      </c>
    </row>
    <row r="64" spans="2:14">
      <c r="B64" s="207">
        <f t="shared" si="0"/>
        <v>50</v>
      </c>
      <c r="C64" s="105"/>
      <c r="D64" s="106"/>
      <c r="E64" s="106"/>
      <c r="F64" s="107"/>
      <c r="G64" s="106"/>
      <c r="H64" s="107"/>
      <c r="I64" s="87" t="str">
        <f>IF($E64="","",VLOOKUP($E64,비용지원안내!$B$5:$D$51,2,FALSE))</f>
        <v/>
      </c>
      <c r="J64" s="108"/>
      <c r="K64" s="106"/>
      <c r="L64" s="106"/>
      <c r="M64" s="106"/>
      <c r="N64" s="38" t="str">
        <f>IF($E64="","",VLOOKUP($E64,비용지원안내!$B$5:$D$51,3,FALSE))</f>
        <v/>
      </c>
    </row>
    <row r="65" spans="2:14">
      <c r="B65" s="207">
        <f t="shared" si="0"/>
        <v>51</v>
      </c>
      <c r="C65" s="105"/>
      <c r="D65" s="106"/>
      <c r="E65" s="106"/>
      <c r="F65" s="107"/>
      <c r="G65" s="106"/>
      <c r="H65" s="107"/>
      <c r="I65" s="87" t="str">
        <f>IF($E65="","",VLOOKUP($E65,비용지원안내!$B$5:$D$51,2,FALSE))</f>
        <v/>
      </c>
      <c r="J65" s="108"/>
      <c r="K65" s="106"/>
      <c r="L65" s="106"/>
      <c r="M65" s="106"/>
      <c r="N65" s="38" t="str">
        <f>IF($E65="","",VLOOKUP($E65,비용지원안내!$B$5:$D$51,3,FALSE))</f>
        <v/>
      </c>
    </row>
    <row r="66" spans="2:14">
      <c r="B66" s="207">
        <f t="shared" si="0"/>
        <v>52</v>
      </c>
      <c r="C66" s="105"/>
      <c r="D66" s="106"/>
      <c r="E66" s="106"/>
      <c r="F66" s="107"/>
      <c r="G66" s="106"/>
      <c r="H66" s="107"/>
      <c r="I66" s="87" t="str">
        <f>IF($E66="","",VLOOKUP($E66,비용지원안내!$B$5:$D$51,2,FALSE))</f>
        <v/>
      </c>
      <c r="J66" s="108"/>
      <c r="K66" s="106"/>
      <c r="L66" s="106"/>
      <c r="M66" s="106"/>
      <c r="N66" s="38" t="str">
        <f>IF($E66="","",VLOOKUP($E66,비용지원안내!$B$5:$D$51,3,FALSE))</f>
        <v/>
      </c>
    </row>
    <row r="67" spans="2:14">
      <c r="B67" s="207">
        <f t="shared" si="0"/>
        <v>53</v>
      </c>
      <c r="C67" s="105"/>
      <c r="D67" s="106"/>
      <c r="E67" s="106"/>
      <c r="F67" s="107"/>
      <c r="G67" s="106"/>
      <c r="H67" s="107"/>
      <c r="I67" s="87" t="str">
        <f>IF($E67="","",VLOOKUP($E67,비용지원안내!$B$5:$D$51,2,FALSE))</f>
        <v/>
      </c>
      <c r="J67" s="108"/>
      <c r="K67" s="106"/>
      <c r="L67" s="106"/>
      <c r="M67" s="106"/>
      <c r="N67" s="38" t="str">
        <f>IF($E67="","",VLOOKUP($E67,비용지원안내!$B$5:$D$51,3,FALSE))</f>
        <v/>
      </c>
    </row>
    <row r="68" spans="2:14">
      <c r="B68" s="207">
        <f t="shared" si="0"/>
        <v>54</v>
      </c>
      <c r="C68" s="105"/>
      <c r="D68" s="106"/>
      <c r="E68" s="106"/>
      <c r="F68" s="107"/>
      <c r="G68" s="106"/>
      <c r="H68" s="107"/>
      <c r="I68" s="87" t="str">
        <f>IF($E68="","",VLOOKUP($E68,비용지원안내!$B$5:$D$51,2,FALSE))</f>
        <v/>
      </c>
      <c r="J68" s="108"/>
      <c r="K68" s="106"/>
      <c r="L68" s="106"/>
      <c r="M68" s="106"/>
      <c r="N68" s="38" t="str">
        <f>IF($E68="","",VLOOKUP($E68,비용지원안내!$B$5:$D$51,3,FALSE))</f>
        <v/>
      </c>
    </row>
    <row r="69" spans="2:14">
      <c r="B69" s="207">
        <f t="shared" si="0"/>
        <v>55</v>
      </c>
      <c r="C69" s="105"/>
      <c r="D69" s="106"/>
      <c r="E69" s="106"/>
      <c r="F69" s="107"/>
      <c r="G69" s="106"/>
      <c r="H69" s="107"/>
      <c r="I69" s="87" t="str">
        <f>IF($E69="","",VLOOKUP($E69,비용지원안내!$B$5:$D$51,2,FALSE))</f>
        <v/>
      </c>
      <c r="J69" s="108"/>
      <c r="K69" s="106"/>
      <c r="L69" s="106"/>
      <c r="M69" s="106"/>
      <c r="N69" s="38" t="str">
        <f>IF($E69="","",VLOOKUP($E69,비용지원안내!$B$5:$D$51,3,FALSE))</f>
        <v/>
      </c>
    </row>
    <row r="70" spans="2:14">
      <c r="B70" s="207">
        <f t="shared" si="0"/>
        <v>56</v>
      </c>
      <c r="C70" s="105"/>
      <c r="D70" s="106"/>
      <c r="E70" s="106"/>
      <c r="F70" s="107"/>
      <c r="G70" s="106"/>
      <c r="H70" s="107"/>
      <c r="I70" s="87" t="str">
        <f>IF($E70="","",VLOOKUP($E70,비용지원안내!$B$5:$D$51,2,FALSE))</f>
        <v/>
      </c>
      <c r="J70" s="108"/>
      <c r="K70" s="106"/>
      <c r="L70" s="106"/>
      <c r="M70" s="106"/>
      <c r="N70" s="38" t="str">
        <f>IF($E70="","",VLOOKUP($E70,비용지원안내!$B$5:$D$51,3,FALSE))</f>
        <v/>
      </c>
    </row>
    <row r="71" spans="2:14">
      <c r="B71" s="207">
        <f t="shared" si="0"/>
        <v>57</v>
      </c>
      <c r="C71" s="105"/>
      <c r="D71" s="106"/>
      <c r="E71" s="106"/>
      <c r="F71" s="107"/>
      <c r="G71" s="106"/>
      <c r="H71" s="107"/>
      <c r="I71" s="87" t="str">
        <f>IF($E71="","",VLOOKUP($E71,비용지원안내!$B$5:$D$51,2,FALSE))</f>
        <v/>
      </c>
      <c r="J71" s="108"/>
      <c r="K71" s="106"/>
      <c r="L71" s="106"/>
      <c r="M71" s="106"/>
      <c r="N71" s="38" t="str">
        <f>IF($E71="","",VLOOKUP($E71,비용지원안내!$B$5:$D$51,3,FALSE))</f>
        <v/>
      </c>
    </row>
    <row r="72" spans="2:14">
      <c r="B72" s="207">
        <f t="shared" si="0"/>
        <v>58</v>
      </c>
      <c r="C72" s="105"/>
      <c r="D72" s="106"/>
      <c r="E72" s="106"/>
      <c r="F72" s="107"/>
      <c r="G72" s="106"/>
      <c r="H72" s="107"/>
      <c r="I72" s="87" t="str">
        <f>IF($E72="","",VLOOKUP($E72,비용지원안내!$B$5:$D$51,2,FALSE))</f>
        <v/>
      </c>
      <c r="J72" s="108"/>
      <c r="K72" s="106"/>
      <c r="L72" s="106"/>
      <c r="M72" s="106"/>
      <c r="N72" s="38" t="str">
        <f>IF($E72="","",VLOOKUP($E72,비용지원안내!$B$5:$D$51,3,FALSE))</f>
        <v/>
      </c>
    </row>
    <row r="73" spans="2:14">
      <c r="B73" s="207">
        <f t="shared" si="0"/>
        <v>59</v>
      </c>
      <c r="C73" s="105"/>
      <c r="D73" s="106"/>
      <c r="E73" s="106"/>
      <c r="F73" s="107"/>
      <c r="G73" s="106"/>
      <c r="H73" s="107"/>
      <c r="I73" s="87" t="str">
        <f>IF($E73="","",VLOOKUP($E73,비용지원안내!$B$5:$D$51,2,FALSE))</f>
        <v/>
      </c>
      <c r="J73" s="108"/>
      <c r="K73" s="106"/>
      <c r="L73" s="106"/>
      <c r="M73" s="106"/>
      <c r="N73" s="38" t="str">
        <f>IF($E73="","",VLOOKUP($E73,비용지원안내!$B$5:$D$51,3,FALSE))</f>
        <v/>
      </c>
    </row>
    <row r="74" spans="2:14">
      <c r="B74" s="207">
        <f t="shared" si="0"/>
        <v>60</v>
      </c>
      <c r="C74" s="105"/>
      <c r="D74" s="106"/>
      <c r="E74" s="106"/>
      <c r="F74" s="107"/>
      <c r="G74" s="106"/>
      <c r="H74" s="107"/>
      <c r="I74" s="87" t="str">
        <f>IF($E74="","",VLOOKUP($E74,비용지원안내!$B$5:$D$51,2,FALSE))</f>
        <v/>
      </c>
      <c r="J74" s="108"/>
      <c r="K74" s="106"/>
      <c r="L74" s="106"/>
      <c r="M74" s="106"/>
      <c r="N74" s="38" t="str">
        <f>IF($E74="","",VLOOKUP($E74,비용지원안내!$B$5:$D$51,3,FALSE))</f>
        <v/>
      </c>
    </row>
    <row r="75" spans="2:14">
      <c r="B75" s="207">
        <f t="shared" si="0"/>
        <v>61</v>
      </c>
      <c r="C75" s="105"/>
      <c r="D75" s="106"/>
      <c r="E75" s="106"/>
      <c r="F75" s="107"/>
      <c r="G75" s="106"/>
      <c r="H75" s="107"/>
      <c r="I75" s="87" t="str">
        <f>IF($E75="","",VLOOKUP($E75,비용지원안내!$B$5:$D$51,2,FALSE))</f>
        <v/>
      </c>
      <c r="J75" s="108"/>
      <c r="K75" s="106"/>
      <c r="L75" s="106"/>
      <c r="M75" s="106"/>
      <c r="N75" s="38" t="str">
        <f>IF($E75="","",VLOOKUP($E75,비용지원안내!$B$5:$D$51,3,FALSE))</f>
        <v/>
      </c>
    </row>
    <row r="76" spans="2:14">
      <c r="B76" s="207">
        <f t="shared" si="0"/>
        <v>62</v>
      </c>
      <c r="C76" s="105"/>
      <c r="D76" s="106"/>
      <c r="E76" s="106"/>
      <c r="F76" s="107"/>
      <c r="G76" s="106"/>
      <c r="H76" s="107"/>
      <c r="I76" s="87" t="str">
        <f>IF($E76="","",VLOOKUP($E76,비용지원안내!$B$5:$D$51,2,FALSE))</f>
        <v/>
      </c>
      <c r="J76" s="108"/>
      <c r="K76" s="106"/>
      <c r="L76" s="106"/>
      <c r="M76" s="106"/>
      <c r="N76" s="38" t="str">
        <f>IF($E76="","",VLOOKUP($E76,비용지원안내!$B$5:$D$51,3,FALSE))</f>
        <v/>
      </c>
    </row>
    <row r="77" spans="2:14">
      <c r="B77" s="207">
        <f t="shared" si="0"/>
        <v>63</v>
      </c>
      <c r="C77" s="105"/>
      <c r="D77" s="106"/>
      <c r="E77" s="106"/>
      <c r="F77" s="107"/>
      <c r="G77" s="106"/>
      <c r="H77" s="107"/>
      <c r="I77" s="87" t="str">
        <f>IF($E77="","",VLOOKUP($E77,비용지원안내!$B$5:$D$51,2,FALSE))</f>
        <v/>
      </c>
      <c r="J77" s="108"/>
      <c r="K77" s="106"/>
      <c r="L77" s="106"/>
      <c r="M77" s="106"/>
      <c r="N77" s="38" t="str">
        <f>IF($E77="","",VLOOKUP($E77,비용지원안내!$B$5:$D$51,3,FALSE))</f>
        <v/>
      </c>
    </row>
    <row r="78" spans="2:14">
      <c r="B78" s="207">
        <f t="shared" si="0"/>
        <v>64</v>
      </c>
      <c r="C78" s="105"/>
      <c r="D78" s="106"/>
      <c r="E78" s="106"/>
      <c r="F78" s="107"/>
      <c r="G78" s="106"/>
      <c r="H78" s="107"/>
      <c r="I78" s="87" t="str">
        <f>IF($E78="","",VLOOKUP($E78,비용지원안내!$B$5:$D$51,2,FALSE))</f>
        <v/>
      </c>
      <c r="J78" s="108"/>
      <c r="K78" s="106"/>
      <c r="L78" s="106"/>
      <c r="M78" s="106"/>
      <c r="N78" s="38" t="str">
        <f>IF($E78="","",VLOOKUP($E78,비용지원안내!$B$5:$D$51,3,FALSE))</f>
        <v/>
      </c>
    </row>
    <row r="79" spans="2:14">
      <c r="B79" s="207">
        <f t="shared" si="0"/>
        <v>65</v>
      </c>
      <c r="C79" s="105"/>
      <c r="D79" s="106"/>
      <c r="E79" s="106"/>
      <c r="F79" s="107"/>
      <c r="G79" s="106"/>
      <c r="H79" s="107"/>
      <c r="I79" s="87" t="str">
        <f>IF($E79="","",VLOOKUP($E79,비용지원안내!$B$5:$D$51,2,FALSE))</f>
        <v/>
      </c>
      <c r="J79" s="108"/>
      <c r="K79" s="106"/>
      <c r="L79" s="106"/>
      <c r="M79" s="106"/>
      <c r="N79" s="38" t="str">
        <f>IF($E79="","",VLOOKUP($E79,비용지원안내!$B$5:$D$51,3,FALSE))</f>
        <v/>
      </c>
    </row>
    <row r="80" spans="2:14">
      <c r="B80" s="207">
        <f t="shared" ref="B80:B114" si="1">ROW()-14</f>
        <v>66</v>
      </c>
      <c r="C80" s="105"/>
      <c r="D80" s="106"/>
      <c r="E80" s="106"/>
      <c r="F80" s="107"/>
      <c r="G80" s="106"/>
      <c r="H80" s="107"/>
      <c r="I80" s="87" t="str">
        <f>IF($E80="","",VLOOKUP($E80,비용지원안내!$B$5:$D$51,2,FALSE))</f>
        <v/>
      </c>
      <c r="J80" s="108"/>
      <c r="K80" s="106"/>
      <c r="L80" s="106"/>
      <c r="M80" s="106"/>
      <c r="N80" s="38" t="str">
        <f>IF($E80="","",VLOOKUP($E80,비용지원안내!$B$5:$D$51,3,FALSE))</f>
        <v/>
      </c>
    </row>
    <row r="81" spans="2:14">
      <c r="B81" s="207">
        <f t="shared" si="1"/>
        <v>67</v>
      </c>
      <c r="C81" s="105"/>
      <c r="D81" s="106"/>
      <c r="E81" s="106"/>
      <c r="F81" s="107"/>
      <c r="G81" s="106"/>
      <c r="H81" s="107"/>
      <c r="I81" s="87" t="str">
        <f>IF($E81="","",VLOOKUP($E81,비용지원안내!$B$5:$D$51,2,FALSE))</f>
        <v/>
      </c>
      <c r="J81" s="108"/>
      <c r="K81" s="106"/>
      <c r="L81" s="106"/>
      <c r="M81" s="106"/>
      <c r="N81" s="38" t="str">
        <f>IF($E81="","",VLOOKUP($E81,비용지원안내!$B$5:$D$51,3,FALSE))</f>
        <v/>
      </c>
    </row>
    <row r="82" spans="2:14">
      <c r="B82" s="207">
        <f t="shared" si="1"/>
        <v>68</v>
      </c>
      <c r="C82" s="105"/>
      <c r="D82" s="106"/>
      <c r="E82" s="106"/>
      <c r="F82" s="107"/>
      <c r="G82" s="106"/>
      <c r="H82" s="107"/>
      <c r="I82" s="87" t="str">
        <f>IF($E82="","",VLOOKUP($E82,비용지원안내!$B$5:$D$51,2,FALSE))</f>
        <v/>
      </c>
      <c r="J82" s="108"/>
      <c r="K82" s="106"/>
      <c r="L82" s="106"/>
      <c r="M82" s="106"/>
      <c r="N82" s="38" t="str">
        <f>IF($E82="","",VLOOKUP($E82,비용지원안내!$B$5:$D$51,3,FALSE))</f>
        <v/>
      </c>
    </row>
    <row r="83" spans="2:14">
      <c r="B83" s="207">
        <f t="shared" si="1"/>
        <v>69</v>
      </c>
      <c r="C83" s="105"/>
      <c r="D83" s="106"/>
      <c r="E83" s="106"/>
      <c r="F83" s="107"/>
      <c r="G83" s="106"/>
      <c r="H83" s="107"/>
      <c r="I83" s="87" t="str">
        <f>IF($E83="","",VLOOKUP($E83,비용지원안내!$B$5:$D$51,2,FALSE))</f>
        <v/>
      </c>
      <c r="J83" s="108"/>
      <c r="K83" s="106"/>
      <c r="L83" s="106"/>
      <c r="M83" s="106"/>
      <c r="N83" s="38" t="str">
        <f>IF($E83="","",VLOOKUP($E83,비용지원안내!$B$5:$D$51,3,FALSE))</f>
        <v/>
      </c>
    </row>
    <row r="84" spans="2:14">
      <c r="B84" s="207">
        <f t="shared" si="1"/>
        <v>70</v>
      </c>
      <c r="C84" s="105"/>
      <c r="D84" s="106"/>
      <c r="E84" s="106"/>
      <c r="F84" s="107"/>
      <c r="G84" s="106"/>
      <c r="H84" s="107"/>
      <c r="I84" s="87" t="str">
        <f>IF($E84="","",VLOOKUP($E84,비용지원안내!$B$5:$D$51,2,FALSE))</f>
        <v/>
      </c>
      <c r="J84" s="108"/>
      <c r="K84" s="106"/>
      <c r="L84" s="106"/>
      <c r="M84" s="106"/>
      <c r="N84" s="38" t="str">
        <f>IF($E84="","",VLOOKUP($E84,비용지원안내!$B$5:$D$51,3,FALSE))</f>
        <v/>
      </c>
    </row>
    <row r="85" spans="2:14">
      <c r="B85" s="207">
        <f t="shared" si="1"/>
        <v>71</v>
      </c>
      <c r="C85" s="105"/>
      <c r="D85" s="106"/>
      <c r="E85" s="106"/>
      <c r="F85" s="107"/>
      <c r="G85" s="106"/>
      <c r="H85" s="107"/>
      <c r="I85" s="87" t="str">
        <f>IF($E85="","",VLOOKUP($E85,비용지원안내!$B$5:$D$51,2,FALSE))</f>
        <v/>
      </c>
      <c r="J85" s="108"/>
      <c r="K85" s="106"/>
      <c r="L85" s="106"/>
      <c r="M85" s="106"/>
      <c r="N85" s="38" t="str">
        <f>IF($E85="","",VLOOKUP($E85,비용지원안내!$B$5:$D$51,3,FALSE))</f>
        <v/>
      </c>
    </row>
    <row r="86" spans="2:14">
      <c r="B86" s="207">
        <f t="shared" si="1"/>
        <v>72</v>
      </c>
      <c r="C86" s="105"/>
      <c r="D86" s="106"/>
      <c r="E86" s="106"/>
      <c r="F86" s="107"/>
      <c r="G86" s="106"/>
      <c r="H86" s="107"/>
      <c r="I86" s="87" t="str">
        <f>IF($E86="","",VLOOKUP($E86,비용지원안내!$B$5:$D$51,2,FALSE))</f>
        <v/>
      </c>
      <c r="J86" s="108"/>
      <c r="K86" s="106"/>
      <c r="L86" s="106"/>
      <c r="M86" s="106"/>
      <c r="N86" s="38" t="str">
        <f>IF($E86="","",VLOOKUP($E86,비용지원안내!$B$5:$D$51,3,FALSE))</f>
        <v/>
      </c>
    </row>
    <row r="87" spans="2:14">
      <c r="B87" s="207">
        <f t="shared" si="1"/>
        <v>73</v>
      </c>
      <c r="C87" s="105"/>
      <c r="D87" s="106"/>
      <c r="E87" s="106"/>
      <c r="F87" s="107"/>
      <c r="G87" s="106"/>
      <c r="H87" s="107"/>
      <c r="I87" s="87" t="str">
        <f>IF($E87="","",VLOOKUP($E87,비용지원안내!$B$5:$D$51,2,FALSE))</f>
        <v/>
      </c>
      <c r="J87" s="108"/>
      <c r="K87" s="106"/>
      <c r="L87" s="106"/>
      <c r="M87" s="106"/>
      <c r="N87" s="38" t="str">
        <f>IF($E87="","",VLOOKUP($E87,비용지원안내!$B$5:$D$51,3,FALSE))</f>
        <v/>
      </c>
    </row>
    <row r="88" spans="2:14">
      <c r="B88" s="207">
        <f t="shared" si="1"/>
        <v>74</v>
      </c>
      <c r="C88" s="105"/>
      <c r="D88" s="106"/>
      <c r="E88" s="106"/>
      <c r="F88" s="107"/>
      <c r="G88" s="106"/>
      <c r="H88" s="107"/>
      <c r="I88" s="87" t="str">
        <f>IF($E88="","",VLOOKUP($E88,비용지원안내!$B$5:$D$51,2,FALSE))</f>
        <v/>
      </c>
      <c r="J88" s="108"/>
      <c r="K88" s="106"/>
      <c r="L88" s="106"/>
      <c r="M88" s="106"/>
      <c r="N88" s="38" t="str">
        <f>IF($E88="","",VLOOKUP($E88,비용지원안내!$B$5:$D$51,3,FALSE))</f>
        <v/>
      </c>
    </row>
    <row r="89" spans="2:14">
      <c r="B89" s="207">
        <f t="shared" si="1"/>
        <v>75</v>
      </c>
      <c r="C89" s="105"/>
      <c r="D89" s="106"/>
      <c r="E89" s="106"/>
      <c r="F89" s="107"/>
      <c r="G89" s="106"/>
      <c r="H89" s="107"/>
      <c r="I89" s="87" t="str">
        <f>IF($E89="","",VLOOKUP($E89,비용지원안내!$B$5:$D$51,2,FALSE))</f>
        <v/>
      </c>
      <c r="J89" s="108"/>
      <c r="K89" s="106"/>
      <c r="L89" s="106"/>
      <c r="M89" s="106"/>
      <c r="N89" s="38" t="str">
        <f>IF($E89="","",VLOOKUP($E89,비용지원안내!$B$5:$D$51,3,FALSE))</f>
        <v/>
      </c>
    </row>
    <row r="90" spans="2:14">
      <c r="B90" s="207">
        <f t="shared" si="1"/>
        <v>76</v>
      </c>
      <c r="C90" s="105"/>
      <c r="D90" s="106"/>
      <c r="E90" s="106"/>
      <c r="F90" s="107"/>
      <c r="G90" s="106"/>
      <c r="H90" s="107"/>
      <c r="I90" s="87" t="str">
        <f>IF($E90="","",VLOOKUP($E90,비용지원안내!$B$5:$D$51,2,FALSE))</f>
        <v/>
      </c>
      <c r="J90" s="108"/>
      <c r="K90" s="106"/>
      <c r="L90" s="106"/>
      <c r="M90" s="106"/>
      <c r="N90" s="38" t="str">
        <f>IF($E90="","",VLOOKUP($E90,비용지원안내!$B$5:$D$51,3,FALSE))</f>
        <v/>
      </c>
    </row>
    <row r="91" spans="2:14">
      <c r="B91" s="207">
        <f t="shared" si="1"/>
        <v>77</v>
      </c>
      <c r="C91" s="105"/>
      <c r="D91" s="106"/>
      <c r="E91" s="106"/>
      <c r="F91" s="107"/>
      <c r="G91" s="106"/>
      <c r="H91" s="107"/>
      <c r="I91" s="87" t="str">
        <f>IF($E91="","",VLOOKUP($E91,비용지원안내!$B$5:$D$51,2,FALSE))</f>
        <v/>
      </c>
      <c r="J91" s="108"/>
      <c r="K91" s="106"/>
      <c r="L91" s="106"/>
      <c r="M91" s="106"/>
      <c r="N91" s="38" t="str">
        <f>IF($E91="","",VLOOKUP($E91,비용지원안내!$B$5:$D$51,3,FALSE))</f>
        <v/>
      </c>
    </row>
    <row r="92" spans="2:14">
      <c r="B92" s="207">
        <f t="shared" si="1"/>
        <v>78</v>
      </c>
      <c r="C92" s="105"/>
      <c r="D92" s="106"/>
      <c r="E92" s="106"/>
      <c r="F92" s="107"/>
      <c r="G92" s="106"/>
      <c r="H92" s="107"/>
      <c r="I92" s="87" t="str">
        <f>IF($E92="","",VLOOKUP($E92,비용지원안내!$B$5:$D$51,2,FALSE))</f>
        <v/>
      </c>
      <c r="J92" s="108"/>
      <c r="K92" s="106"/>
      <c r="L92" s="106"/>
      <c r="M92" s="106"/>
      <c r="N92" s="38" t="str">
        <f>IF($E92="","",VLOOKUP($E92,비용지원안내!$B$5:$D$51,3,FALSE))</f>
        <v/>
      </c>
    </row>
    <row r="93" spans="2:14">
      <c r="B93" s="207">
        <f t="shared" si="1"/>
        <v>79</v>
      </c>
      <c r="C93" s="105"/>
      <c r="D93" s="106"/>
      <c r="E93" s="106"/>
      <c r="F93" s="107"/>
      <c r="G93" s="106"/>
      <c r="H93" s="107"/>
      <c r="I93" s="87" t="str">
        <f>IF($E93="","",VLOOKUP($E93,비용지원안내!$B$5:$D$51,2,FALSE))</f>
        <v/>
      </c>
      <c r="J93" s="108"/>
      <c r="K93" s="106"/>
      <c r="L93" s="106"/>
      <c r="M93" s="106"/>
      <c r="N93" s="38" t="str">
        <f>IF($E93="","",VLOOKUP($E93,비용지원안내!$B$5:$D$51,3,FALSE))</f>
        <v/>
      </c>
    </row>
    <row r="94" spans="2:14">
      <c r="B94" s="207">
        <f t="shared" si="1"/>
        <v>80</v>
      </c>
      <c r="C94" s="105"/>
      <c r="D94" s="106"/>
      <c r="E94" s="106"/>
      <c r="F94" s="107"/>
      <c r="G94" s="106"/>
      <c r="H94" s="107"/>
      <c r="I94" s="87" t="str">
        <f>IF($E94="","",VLOOKUP($E94,비용지원안내!$B$5:$D$51,2,FALSE))</f>
        <v/>
      </c>
      <c r="J94" s="108"/>
      <c r="K94" s="106"/>
      <c r="L94" s="106"/>
      <c r="M94" s="106"/>
      <c r="N94" s="38" t="str">
        <f>IF($E94="","",VLOOKUP($E94,비용지원안내!$B$5:$D$51,3,FALSE))</f>
        <v/>
      </c>
    </row>
    <row r="95" spans="2:14">
      <c r="B95" s="207">
        <f t="shared" si="1"/>
        <v>81</v>
      </c>
      <c r="C95" s="105"/>
      <c r="D95" s="106"/>
      <c r="E95" s="106"/>
      <c r="F95" s="107"/>
      <c r="G95" s="106"/>
      <c r="H95" s="107"/>
      <c r="I95" s="87" t="str">
        <f>IF($E95="","",VLOOKUP($E95,비용지원안내!$B$5:$D$51,2,FALSE))</f>
        <v/>
      </c>
      <c r="J95" s="108"/>
      <c r="K95" s="106"/>
      <c r="L95" s="106"/>
      <c r="M95" s="106"/>
      <c r="N95" s="38" t="str">
        <f>IF($E95="","",VLOOKUP($E95,비용지원안내!$B$5:$D$51,3,FALSE))</f>
        <v/>
      </c>
    </row>
    <row r="96" spans="2:14">
      <c r="B96" s="207">
        <f t="shared" si="1"/>
        <v>82</v>
      </c>
      <c r="C96" s="105"/>
      <c r="D96" s="106"/>
      <c r="E96" s="106"/>
      <c r="F96" s="107"/>
      <c r="G96" s="106"/>
      <c r="H96" s="107"/>
      <c r="I96" s="87" t="str">
        <f>IF($E96="","",VLOOKUP($E96,비용지원안내!$B$5:$D$51,2,FALSE))</f>
        <v/>
      </c>
      <c r="J96" s="108"/>
      <c r="K96" s="106"/>
      <c r="L96" s="106"/>
      <c r="M96" s="106"/>
      <c r="N96" s="38" t="str">
        <f>IF($E96="","",VLOOKUP($E96,비용지원안내!$B$5:$D$51,3,FALSE))</f>
        <v/>
      </c>
    </row>
    <row r="97" spans="2:14">
      <c r="B97" s="207">
        <f t="shared" si="1"/>
        <v>83</v>
      </c>
      <c r="C97" s="105"/>
      <c r="D97" s="106"/>
      <c r="E97" s="106"/>
      <c r="F97" s="107"/>
      <c r="G97" s="106"/>
      <c r="H97" s="107"/>
      <c r="I97" s="87" t="str">
        <f>IF($E97="","",VLOOKUP($E97,비용지원안내!$B$5:$D$51,2,FALSE))</f>
        <v/>
      </c>
      <c r="J97" s="108"/>
      <c r="K97" s="106"/>
      <c r="L97" s="106"/>
      <c r="M97" s="106"/>
      <c r="N97" s="38" t="str">
        <f>IF($E97="","",VLOOKUP($E97,비용지원안내!$B$5:$D$51,3,FALSE))</f>
        <v/>
      </c>
    </row>
    <row r="98" spans="2:14">
      <c r="B98" s="207">
        <f t="shared" si="1"/>
        <v>84</v>
      </c>
      <c r="C98" s="105"/>
      <c r="D98" s="106"/>
      <c r="E98" s="106"/>
      <c r="F98" s="107"/>
      <c r="G98" s="106"/>
      <c r="H98" s="107"/>
      <c r="I98" s="87" t="str">
        <f>IF($E98="","",VLOOKUP($E98,비용지원안내!$B$5:$D$51,2,FALSE))</f>
        <v/>
      </c>
      <c r="J98" s="108"/>
      <c r="K98" s="106"/>
      <c r="L98" s="106"/>
      <c r="M98" s="106"/>
      <c r="N98" s="38" t="str">
        <f>IF($E98="","",VLOOKUP($E98,비용지원안내!$B$5:$D$51,3,FALSE))</f>
        <v/>
      </c>
    </row>
    <row r="99" spans="2:14">
      <c r="B99" s="207">
        <f t="shared" si="1"/>
        <v>85</v>
      </c>
      <c r="C99" s="105"/>
      <c r="D99" s="106"/>
      <c r="E99" s="106"/>
      <c r="F99" s="107"/>
      <c r="G99" s="106"/>
      <c r="H99" s="107"/>
      <c r="I99" s="87" t="str">
        <f>IF($E99="","",VLOOKUP($E99,비용지원안내!$B$5:$D$51,2,FALSE))</f>
        <v/>
      </c>
      <c r="J99" s="108"/>
      <c r="K99" s="106"/>
      <c r="L99" s="106"/>
      <c r="M99" s="106"/>
      <c r="N99" s="38" t="str">
        <f>IF($E99="","",VLOOKUP($E99,비용지원안내!$B$5:$D$51,3,FALSE))</f>
        <v/>
      </c>
    </row>
    <row r="100" spans="2:14">
      <c r="B100" s="207">
        <f t="shared" si="1"/>
        <v>86</v>
      </c>
      <c r="C100" s="105"/>
      <c r="D100" s="106"/>
      <c r="E100" s="106"/>
      <c r="F100" s="107"/>
      <c r="G100" s="106"/>
      <c r="H100" s="107"/>
      <c r="I100" s="87" t="str">
        <f>IF($E100="","",VLOOKUP($E100,비용지원안내!$B$5:$D$51,2,FALSE))</f>
        <v/>
      </c>
      <c r="J100" s="108"/>
      <c r="K100" s="106"/>
      <c r="L100" s="106"/>
      <c r="M100" s="106"/>
      <c r="N100" s="38" t="str">
        <f>IF($E100="","",VLOOKUP($E100,비용지원안내!$B$5:$D$51,3,FALSE))</f>
        <v/>
      </c>
    </row>
    <row r="101" spans="2:14">
      <c r="B101" s="207">
        <f t="shared" si="1"/>
        <v>87</v>
      </c>
      <c r="C101" s="105"/>
      <c r="D101" s="106"/>
      <c r="E101" s="106"/>
      <c r="F101" s="107"/>
      <c r="G101" s="106"/>
      <c r="H101" s="107"/>
      <c r="I101" s="87" t="str">
        <f>IF($E101="","",VLOOKUP($E101,비용지원안내!$B$5:$D$51,2,FALSE))</f>
        <v/>
      </c>
      <c r="J101" s="108"/>
      <c r="K101" s="106"/>
      <c r="L101" s="106"/>
      <c r="M101" s="106"/>
      <c r="N101" s="38" t="str">
        <f>IF($E101="","",VLOOKUP($E101,비용지원안내!$B$5:$D$51,3,FALSE))</f>
        <v/>
      </c>
    </row>
    <row r="102" spans="2:14">
      <c r="B102" s="207">
        <f t="shared" si="1"/>
        <v>88</v>
      </c>
      <c r="C102" s="105"/>
      <c r="D102" s="106"/>
      <c r="E102" s="106"/>
      <c r="F102" s="107"/>
      <c r="G102" s="106"/>
      <c r="H102" s="107"/>
      <c r="I102" s="87" t="str">
        <f>IF($E102="","",VLOOKUP($E102,비용지원안내!$B$5:$D$51,2,FALSE))</f>
        <v/>
      </c>
      <c r="J102" s="108"/>
      <c r="K102" s="106"/>
      <c r="L102" s="106"/>
      <c r="M102" s="106"/>
      <c r="N102" s="38" t="str">
        <f>IF($E102="","",VLOOKUP($E102,비용지원안내!$B$5:$D$51,3,FALSE))</f>
        <v/>
      </c>
    </row>
    <row r="103" spans="2:14">
      <c r="B103" s="207">
        <f t="shared" si="1"/>
        <v>89</v>
      </c>
      <c r="C103" s="105"/>
      <c r="D103" s="106"/>
      <c r="E103" s="106"/>
      <c r="F103" s="107"/>
      <c r="G103" s="106"/>
      <c r="H103" s="107"/>
      <c r="I103" s="87" t="str">
        <f>IF($E103="","",VLOOKUP($E103,비용지원안내!$B$5:$D$51,2,FALSE))</f>
        <v/>
      </c>
      <c r="J103" s="108"/>
      <c r="K103" s="106"/>
      <c r="L103" s="106"/>
      <c r="M103" s="106"/>
      <c r="N103" s="38" t="str">
        <f>IF($E103="","",VLOOKUP($E103,비용지원안내!$B$5:$D$51,3,FALSE))</f>
        <v/>
      </c>
    </row>
    <row r="104" spans="2:14">
      <c r="B104" s="207">
        <f t="shared" si="1"/>
        <v>90</v>
      </c>
      <c r="C104" s="105"/>
      <c r="D104" s="106"/>
      <c r="E104" s="106"/>
      <c r="F104" s="107"/>
      <c r="G104" s="106"/>
      <c r="H104" s="107"/>
      <c r="I104" s="87" t="str">
        <f>IF($E104="","",VLOOKUP($E104,비용지원안내!$B$5:$D$51,2,FALSE))</f>
        <v/>
      </c>
      <c r="J104" s="108"/>
      <c r="K104" s="106"/>
      <c r="L104" s="106"/>
      <c r="M104" s="106"/>
      <c r="N104" s="38" t="str">
        <f>IF($E104="","",VLOOKUP($E104,비용지원안내!$B$5:$D$51,3,FALSE))</f>
        <v/>
      </c>
    </row>
    <row r="105" spans="2:14">
      <c r="B105" s="207">
        <f t="shared" si="1"/>
        <v>91</v>
      </c>
      <c r="C105" s="105"/>
      <c r="D105" s="106"/>
      <c r="E105" s="106"/>
      <c r="F105" s="107"/>
      <c r="G105" s="106"/>
      <c r="H105" s="107"/>
      <c r="I105" s="87" t="str">
        <f>IF($E105="","",VLOOKUP($E105,비용지원안내!$B$5:$D$51,2,FALSE))</f>
        <v/>
      </c>
      <c r="J105" s="108"/>
      <c r="K105" s="106"/>
      <c r="L105" s="106"/>
      <c r="M105" s="106"/>
      <c r="N105" s="38" t="str">
        <f>IF($E105="","",VLOOKUP($E105,비용지원안내!$B$5:$D$51,3,FALSE))</f>
        <v/>
      </c>
    </row>
    <row r="106" spans="2:14">
      <c r="B106" s="207">
        <f t="shared" si="1"/>
        <v>92</v>
      </c>
      <c r="C106" s="105"/>
      <c r="D106" s="106"/>
      <c r="E106" s="106"/>
      <c r="F106" s="107"/>
      <c r="G106" s="106"/>
      <c r="H106" s="107"/>
      <c r="I106" s="87" t="str">
        <f>IF($E106="","",VLOOKUP($E106,비용지원안내!$B$5:$D$51,2,FALSE))</f>
        <v/>
      </c>
      <c r="J106" s="108"/>
      <c r="K106" s="106"/>
      <c r="L106" s="106"/>
      <c r="M106" s="106"/>
      <c r="N106" s="38" t="str">
        <f>IF($E106="","",VLOOKUP($E106,비용지원안내!$B$5:$D$51,3,FALSE))</f>
        <v/>
      </c>
    </row>
    <row r="107" spans="2:14">
      <c r="B107" s="207">
        <f t="shared" si="1"/>
        <v>93</v>
      </c>
      <c r="C107" s="105"/>
      <c r="D107" s="106"/>
      <c r="E107" s="106"/>
      <c r="F107" s="107"/>
      <c r="G107" s="106"/>
      <c r="H107" s="107"/>
      <c r="I107" s="87" t="str">
        <f>IF($E107="","",VLOOKUP($E107,비용지원안내!$B$5:$D$51,2,FALSE))</f>
        <v/>
      </c>
      <c r="J107" s="108"/>
      <c r="K107" s="106"/>
      <c r="L107" s="106"/>
      <c r="M107" s="106"/>
      <c r="N107" s="38" t="str">
        <f>IF($E107="","",VLOOKUP($E107,비용지원안내!$B$5:$D$51,3,FALSE))</f>
        <v/>
      </c>
    </row>
    <row r="108" spans="2:14">
      <c r="B108" s="207">
        <f t="shared" si="1"/>
        <v>94</v>
      </c>
      <c r="C108" s="105"/>
      <c r="D108" s="106"/>
      <c r="E108" s="106"/>
      <c r="F108" s="107"/>
      <c r="G108" s="106"/>
      <c r="H108" s="107"/>
      <c r="I108" s="87" t="str">
        <f>IF($E108="","",VLOOKUP($E108,비용지원안내!$B$5:$D$51,2,FALSE))</f>
        <v/>
      </c>
      <c r="J108" s="108"/>
      <c r="K108" s="106"/>
      <c r="L108" s="106"/>
      <c r="M108" s="106"/>
      <c r="N108" s="38" t="str">
        <f>IF($E108="","",VLOOKUP($E108,비용지원안내!$B$5:$D$51,3,FALSE))</f>
        <v/>
      </c>
    </row>
    <row r="109" spans="2:14">
      <c r="B109" s="207">
        <f t="shared" si="1"/>
        <v>95</v>
      </c>
      <c r="C109" s="105"/>
      <c r="D109" s="106"/>
      <c r="E109" s="106"/>
      <c r="F109" s="107"/>
      <c r="G109" s="106"/>
      <c r="H109" s="107"/>
      <c r="I109" s="87" t="str">
        <f>IF($E109="","",VLOOKUP($E109,비용지원안내!$B$5:$D$51,2,FALSE))</f>
        <v/>
      </c>
      <c r="J109" s="108"/>
      <c r="K109" s="106"/>
      <c r="L109" s="106"/>
      <c r="M109" s="106"/>
      <c r="N109" s="38" t="str">
        <f>IF($E109="","",VLOOKUP($E109,비용지원안내!$B$5:$D$51,3,FALSE))</f>
        <v/>
      </c>
    </row>
    <row r="110" spans="2:14">
      <c r="B110" s="207">
        <f t="shared" si="1"/>
        <v>96</v>
      </c>
      <c r="C110" s="105"/>
      <c r="D110" s="106"/>
      <c r="E110" s="106"/>
      <c r="F110" s="107"/>
      <c r="G110" s="106"/>
      <c r="H110" s="107"/>
      <c r="I110" s="87" t="str">
        <f>IF($E110="","",VLOOKUP($E110,비용지원안내!$B$5:$D$51,2,FALSE))</f>
        <v/>
      </c>
      <c r="J110" s="108"/>
      <c r="K110" s="106"/>
      <c r="L110" s="106"/>
      <c r="M110" s="106"/>
      <c r="N110" s="38" t="str">
        <f>IF($E110="","",VLOOKUP($E110,비용지원안내!$B$5:$D$51,3,FALSE))</f>
        <v/>
      </c>
    </row>
    <row r="111" spans="2:14">
      <c r="B111" s="207">
        <f t="shared" si="1"/>
        <v>97</v>
      </c>
      <c r="C111" s="105"/>
      <c r="D111" s="106"/>
      <c r="E111" s="106"/>
      <c r="F111" s="107"/>
      <c r="G111" s="106"/>
      <c r="H111" s="107"/>
      <c r="I111" s="87" t="str">
        <f>IF($E111="","",VLOOKUP($E111,비용지원안내!$B$5:$D$51,2,FALSE))</f>
        <v/>
      </c>
      <c r="J111" s="108"/>
      <c r="K111" s="106"/>
      <c r="L111" s="106"/>
      <c r="M111" s="106"/>
      <c r="N111" s="38" t="str">
        <f>IF($E111="","",VLOOKUP($E111,비용지원안내!$B$5:$D$51,3,FALSE))</f>
        <v/>
      </c>
    </row>
    <row r="112" spans="2:14">
      <c r="B112" s="207">
        <f t="shared" si="1"/>
        <v>98</v>
      </c>
      <c r="C112" s="105"/>
      <c r="D112" s="106"/>
      <c r="E112" s="106"/>
      <c r="F112" s="107"/>
      <c r="G112" s="106"/>
      <c r="H112" s="107"/>
      <c r="I112" s="87" t="str">
        <f>IF($E112="","",VLOOKUP($E112,비용지원안내!$B$5:$D$51,2,FALSE))</f>
        <v/>
      </c>
      <c r="J112" s="108"/>
      <c r="K112" s="106"/>
      <c r="L112" s="106"/>
      <c r="M112" s="106"/>
      <c r="N112" s="38" t="str">
        <f>IF($E112="","",VLOOKUP($E112,비용지원안내!$B$5:$D$51,3,FALSE))</f>
        <v/>
      </c>
    </row>
    <row r="113" spans="2:14">
      <c r="B113" s="207">
        <f t="shared" si="1"/>
        <v>99</v>
      </c>
      <c r="C113" s="105"/>
      <c r="D113" s="106"/>
      <c r="E113" s="106"/>
      <c r="F113" s="107"/>
      <c r="G113" s="106"/>
      <c r="H113" s="107"/>
      <c r="I113" s="87" t="str">
        <f>IF($E113="","",VLOOKUP($E113,비용지원안내!$B$5:$D$51,2,FALSE))</f>
        <v/>
      </c>
      <c r="J113" s="108"/>
      <c r="K113" s="106"/>
      <c r="L113" s="106"/>
      <c r="M113" s="106"/>
      <c r="N113" s="38" t="str">
        <f>IF($E113="","",VLOOKUP($E113,비용지원안내!$B$5:$D$51,3,FALSE))</f>
        <v/>
      </c>
    </row>
    <row r="114" spans="2:14">
      <c r="B114" s="207">
        <f t="shared" si="1"/>
        <v>100</v>
      </c>
      <c r="C114" s="105"/>
      <c r="D114" s="106"/>
      <c r="E114" s="106"/>
      <c r="F114" s="107"/>
      <c r="G114" s="106"/>
      <c r="H114" s="107"/>
      <c r="I114" s="87" t="str">
        <f>IF($E114="","",VLOOKUP($E114,비용지원안내!$B$5:$D$51,2,FALSE))</f>
        <v/>
      </c>
      <c r="J114" s="108"/>
      <c r="K114" s="106"/>
      <c r="L114" s="106"/>
      <c r="M114" s="106"/>
      <c r="N114" s="38" t="str">
        <f>IF($E114="","",VLOOKUP($E114,비용지원안내!$B$5:$D$51,3,FALSE))</f>
        <v/>
      </c>
    </row>
  </sheetData>
  <sheetProtection algorithmName="SHA-512" hashValue="WCAfDjy2tmRhMzQSE4B+qCRn3aQxF3DWvp4yNju2APRzLa9GNMs2FyZsfCRUs1yzdGaxw9J9HOu3PzPRV6n2rg==" saltValue="yPJqtN/4Y2ziaznvFM0VpA==" spinCount="100000" sheet="1" objects="1" scenarios="1" formatColumns="0" formatRows="0"/>
  <mergeCells count="13">
    <mergeCell ref="J8:M8"/>
    <mergeCell ref="C8:I8"/>
    <mergeCell ref="B13:H13"/>
    <mergeCell ref="C7:D7"/>
    <mergeCell ref="F5:G5"/>
    <mergeCell ref="F6:G6"/>
    <mergeCell ref="A1:B6"/>
    <mergeCell ref="C1:D2"/>
    <mergeCell ref="C3:D6"/>
    <mergeCell ref="A10:B10"/>
    <mergeCell ref="A11:B11"/>
    <mergeCell ref="A9:B9"/>
    <mergeCell ref="A8:B8"/>
  </mergeCells>
  <phoneticPr fontId="2" type="noConversion"/>
  <dataValidations count="6">
    <dataValidation type="textLength" operator="lessThan" allowBlank="1" showInputMessage="1" showErrorMessage="1" errorTitle="입력오류" error="5글자이내로 입력하세요_x000a_(수도권은 '구/군'단위, 비수도권은 '시/도'단위만 기재)" sqref="K11 K15:K114" xr:uid="{A50E46FD-6B62-40BA-8D9E-8584ED6615A9}">
      <formula1>6</formula1>
    </dataValidation>
    <dataValidation type="time" operator="notEqual" allowBlank="1" showInputMessage="1" showErrorMessage="1" errorTitle="입력오류" error="HH:MM형식으로 입력하세요._x000a_(입력가능시간 00:01~23:59)" sqref="J11 J15:J114" xr:uid="{F0E8A8C0-F733-461F-BAF8-AE6660137484}">
      <formula1>0</formula1>
    </dataValidation>
    <dataValidation type="whole" operator="greaterThanOrEqual" allowBlank="1" showInputMessage="1" showErrorMessage="1" errorTitle="입력오류" error="-3,000,000이상의 정수값만 입력할 수 있습니다." sqref="F11 H11 F15:F114 H15:H114" xr:uid="{52651A75-752B-48AF-8213-8D0957318167}">
      <formula1>-3000000</formula1>
    </dataValidation>
    <dataValidation type="date" allowBlank="1" showInputMessage="1" showErrorMessage="1" errorTitle="입력오류" error="YYYY-MM-DD형식으로 입력하세요._x000a_(입력가능일자 : 2025-01-01 ~ 2025-12-31)" sqref="C11" xr:uid="{A139DBF5-6E57-4A9F-A285-777CF146A2FA}">
      <formula1>45658</formula1>
      <formula2>46022</formula2>
    </dataValidation>
    <dataValidation type="list" allowBlank="1" showInputMessage="1" showErrorMessage="1" errorTitle="입력오류" error="입력할 수 있는 값은 보기를 참고하세요(셀 우측화살표클릭)_x000a_*기타는 사용전 회계담당자에 문의" sqref="G11 G15:G114" xr:uid="{1F554571-B074-42E5-877F-3A058AE57DF1}">
      <formula1>"1.개인카드,2.현금,3.개인형법인카드,4.기타"</formula1>
    </dataValidation>
    <dataValidation type="date" allowBlank="1" showInputMessage="1" showErrorMessage="1" errorTitle="입력오류" error="YYYY-MM-DD형식으로 입력하세요._x000a_(입력가능일자 : 2026-01-01 ~ 2026-12-31)" sqref="C15:C114" xr:uid="{BC41A259-8793-44C7-8004-455C47AE9634}">
      <formula1>46023</formula1>
      <formula2>46387</formula2>
    </dataValidation>
  </dataValidations>
  <pageMargins left="0.7" right="0.7" top="0.75" bottom="0.75" header="0.3" footer="0.3"/>
  <pageSetup paperSize="9" scale="34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입력오류" error="입력할 수 있는 값은 보기를 참고하세요(셀 우측화살표클릭)_x000a_*기타는 회계담당자에 문의" xr:uid="{2A60D866-8AC8-4972-BD0D-592BA689C66C}">
          <x14:formula1>
            <xm:f>비용지원안내!$B$5:$B$42</xm:f>
          </x14:formula1>
          <xm:sqref>E11 E15:E114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D2850-4912-4C91-8308-9DD3E24C9B23}">
  <sheetPr codeName="Sheet2">
    <tabColor rgb="FFFFFF99"/>
  </sheetPr>
  <dimension ref="A1:U300"/>
  <sheetViews>
    <sheetView showGridLines="0" zoomScaleNormal="100" workbookViewId="0">
      <selection activeCell="J1" sqref="J1:J2"/>
    </sheetView>
  </sheetViews>
  <sheetFormatPr baseColWidth="10" defaultColWidth="9" defaultRowHeight="13"/>
  <cols>
    <col min="1" max="1" width="3.1640625" style="2" bestFit="1" customWidth="1"/>
    <col min="2" max="2" width="10.5" style="2" customWidth="1"/>
    <col min="3" max="3" width="4.83203125" style="2" customWidth="1"/>
    <col min="4" max="4" width="11" style="2" bestFit="1" customWidth="1"/>
    <col min="5" max="5" width="13" style="2" bestFit="1" customWidth="1"/>
    <col min="6" max="6" width="16.1640625" style="2" bestFit="1" customWidth="1"/>
    <col min="7" max="7" width="18.6640625" style="2" bestFit="1" customWidth="1"/>
    <col min="8" max="9" width="9" style="2"/>
    <col min="10" max="10" width="15.33203125" style="2" customWidth="1"/>
    <col min="11" max="11" width="14.83203125" style="2" customWidth="1"/>
    <col min="12" max="12" width="3.1640625" style="2" customWidth="1"/>
    <col min="13" max="13" width="3.1640625" style="2" bestFit="1" customWidth="1"/>
    <col min="14" max="14" width="11" style="2" customWidth="1"/>
    <col min="15" max="15" width="4.83203125" style="2" customWidth="1"/>
    <col min="16" max="16" width="11" style="2" bestFit="1" customWidth="1"/>
    <col min="17" max="17" width="13" style="2" bestFit="1" customWidth="1"/>
    <col min="18" max="19" width="14.1640625" style="2" customWidth="1"/>
    <col min="20" max="20" width="9" style="2"/>
    <col min="21" max="21" width="13.1640625" style="2" bestFit="1" customWidth="1"/>
    <col min="22" max="16384" width="9" style="2"/>
  </cols>
  <sheetData>
    <row r="1" spans="1:21" ht="28">
      <c r="B1" s="95" t="s">
        <v>187</v>
      </c>
      <c r="J1" s="104"/>
      <c r="K1" s="104" t="s">
        <v>252</v>
      </c>
    </row>
    <row r="2" spans="1:21" ht="32.25" customHeight="1">
      <c r="F2" s="110" t="s">
        <v>36</v>
      </c>
      <c r="G2" s="110"/>
      <c r="J2" s="96"/>
      <c r="K2" s="96" t="s">
        <v>250</v>
      </c>
      <c r="R2" s="110" t="s">
        <v>37</v>
      </c>
      <c r="S2" s="110"/>
      <c r="U2" s="27"/>
    </row>
    <row r="3" spans="1:21">
      <c r="B3" s="2" t="s">
        <v>188</v>
      </c>
      <c r="N3" s="2" t="s">
        <v>189</v>
      </c>
    </row>
    <row r="4" spans="1:21">
      <c r="B4" s="29" t="s">
        <v>27</v>
      </c>
      <c r="C4" s="97" t="s">
        <v>190</v>
      </c>
      <c r="D4" s="29" t="s">
        <v>22</v>
      </c>
      <c r="E4" s="29" t="s">
        <v>25</v>
      </c>
      <c r="F4" s="29" t="s">
        <v>23</v>
      </c>
      <c r="G4" s="29" t="s">
        <v>24</v>
      </c>
      <c r="H4" s="29" t="s">
        <v>26</v>
      </c>
      <c r="I4" s="29" t="s">
        <v>34</v>
      </c>
      <c r="J4" s="29" t="s">
        <v>32</v>
      </c>
      <c r="K4" s="97" t="s">
        <v>33</v>
      </c>
      <c r="N4" s="29" t="s">
        <v>38</v>
      </c>
      <c r="O4" s="97" t="s">
        <v>190</v>
      </c>
      <c r="P4" s="29" t="s">
        <v>22</v>
      </c>
      <c r="Q4" s="29" t="s">
        <v>25</v>
      </c>
      <c r="R4" s="29" t="s">
        <v>23</v>
      </c>
      <c r="S4" s="29" t="s">
        <v>39</v>
      </c>
      <c r="T4" s="29" t="s">
        <v>191</v>
      </c>
      <c r="U4" s="29" t="s">
        <v>43</v>
      </c>
    </row>
    <row r="5" spans="1:21" s="98" customFormat="1" ht="21" customHeight="1">
      <c r="B5" s="111" t="s">
        <v>35</v>
      </c>
      <c r="C5" s="111"/>
      <c r="D5" s="111"/>
      <c r="E5" s="111"/>
      <c r="F5" s="111"/>
      <c r="G5" s="111"/>
      <c r="H5" s="111"/>
      <c r="I5" s="111"/>
      <c r="J5" s="99">
        <f>SUM(J7:J100)</f>
        <v>0</v>
      </c>
      <c r="K5" s="39">
        <f>SUM(K7:K100)</f>
        <v>0</v>
      </c>
      <c r="N5" s="112" t="s">
        <v>35</v>
      </c>
      <c r="O5" s="113"/>
      <c r="P5" s="113"/>
      <c r="Q5" s="113"/>
      <c r="R5" s="113"/>
      <c r="S5" s="114"/>
      <c r="T5" s="100">
        <f>COUNTA(N7:N300)</f>
        <v>0</v>
      </c>
      <c r="U5" s="39">
        <f>SUM(U7:U300)</f>
        <v>0</v>
      </c>
    </row>
    <row r="6" spans="1:21" s="94" customFormat="1" ht="14">
      <c r="A6" s="101" t="s">
        <v>44</v>
      </c>
      <c r="B6" s="102">
        <v>44378</v>
      </c>
      <c r="C6" s="93" t="str">
        <f>IF(B6="","",TEXT(B6,"aaa"))</f>
        <v>목</v>
      </c>
      <c r="D6" s="101" t="s">
        <v>28</v>
      </c>
      <c r="E6" s="101" t="s">
        <v>29</v>
      </c>
      <c r="F6" s="101" t="s">
        <v>30</v>
      </c>
      <c r="G6" s="101" t="s">
        <v>31</v>
      </c>
      <c r="H6" s="101" t="s">
        <v>192</v>
      </c>
      <c r="I6" s="10">
        <v>900</v>
      </c>
      <c r="J6" s="103">
        <v>152</v>
      </c>
      <c r="K6" s="40">
        <f>IF(B6&lt;DATE(2025,12,1),IF(OR(H6="휘발유",H6="경유"),ROUNDDOWN(J6/6*I6,0),IF(H6="LPG",ROUNDDOWN(J6/5*I6,0),"")),IF(OR(H6="휘발유",H6="경유"),ROUNDDOWN(J6/5.8*I6,0),IF(H6="LPG",ROUNDDOWN(J6/4.8*I6,0),"")))</f>
        <v>27360</v>
      </c>
      <c r="M6" s="101" t="s">
        <v>44</v>
      </c>
      <c r="N6" s="102">
        <v>44378</v>
      </c>
      <c r="O6" s="93" t="str">
        <f>IF(N6="","",TEXT(N6,"aaa"))</f>
        <v>목</v>
      </c>
      <c r="P6" s="101" t="s">
        <v>193</v>
      </c>
      <c r="Q6" s="101" t="s">
        <v>194</v>
      </c>
      <c r="R6" s="101" t="s">
        <v>40</v>
      </c>
      <c r="S6" s="101" t="s">
        <v>41</v>
      </c>
      <c r="T6" s="101" t="s">
        <v>42</v>
      </c>
      <c r="U6" s="10">
        <v>1500</v>
      </c>
    </row>
    <row r="7" spans="1:21" s="94" customFormat="1" ht="14">
      <c r="A7" s="5">
        <v>1</v>
      </c>
      <c r="B7" s="41"/>
      <c r="C7" s="93" t="str">
        <f t="shared" ref="C7:C70" si="0">IF(B7="","",TEXT(B7,"aaa"))</f>
        <v/>
      </c>
      <c r="D7" s="11"/>
      <c r="E7" s="11"/>
      <c r="F7" s="11"/>
      <c r="G7" s="11"/>
      <c r="H7" s="11"/>
      <c r="I7" s="12"/>
      <c r="J7" s="13"/>
      <c r="K7" s="40" t="str">
        <f t="shared" ref="K7:K70" si="1">IF(B7&lt;DATE(2025,12,1),IF(OR(H7="휘발유",H7="경유"),ROUNDDOWN(J7/6*I7,0),IF(H7="LPG",ROUNDDOWN(J7/5*I7,0),"")),IF(OR(H7="휘발유",H7="경유"),ROUNDDOWN(J7/5.8*I7,0),IF(H7="LPG",ROUNDDOWN(J7/4.8*I7,0),"")))</f>
        <v/>
      </c>
      <c r="M7" s="5">
        <v>1</v>
      </c>
      <c r="N7" s="41"/>
      <c r="O7" s="93" t="str">
        <f t="shared" ref="O7:O70" si="2">IF(N7="","",TEXT(N7,"aaa"))</f>
        <v/>
      </c>
      <c r="P7" s="11"/>
      <c r="Q7" s="11"/>
      <c r="R7" s="11"/>
      <c r="S7" s="11"/>
      <c r="T7" s="11"/>
      <c r="U7" s="12"/>
    </row>
    <row r="8" spans="1:21" s="94" customFormat="1" ht="14">
      <c r="A8" s="5">
        <v>2</v>
      </c>
      <c r="B8" s="41"/>
      <c r="C8" s="93" t="str">
        <f t="shared" si="0"/>
        <v/>
      </c>
      <c r="D8" s="11"/>
      <c r="E8" s="11"/>
      <c r="F8" s="11"/>
      <c r="G8" s="11"/>
      <c r="H8" s="11"/>
      <c r="I8" s="12"/>
      <c r="J8" s="13"/>
      <c r="K8" s="40" t="str">
        <f t="shared" si="1"/>
        <v/>
      </c>
      <c r="M8" s="5">
        <v>2</v>
      </c>
      <c r="N8" s="41"/>
      <c r="O8" s="93" t="str">
        <f t="shared" si="2"/>
        <v/>
      </c>
      <c r="P8" s="11"/>
      <c r="Q8" s="11"/>
      <c r="R8" s="11"/>
      <c r="S8" s="11"/>
      <c r="T8" s="11"/>
      <c r="U8" s="12"/>
    </row>
    <row r="9" spans="1:21" s="94" customFormat="1" ht="14">
      <c r="A9" s="5">
        <v>3</v>
      </c>
      <c r="B9" s="41"/>
      <c r="C9" s="93" t="str">
        <f t="shared" si="0"/>
        <v/>
      </c>
      <c r="D9" s="11"/>
      <c r="E9" s="11"/>
      <c r="F9" s="11"/>
      <c r="G9" s="11"/>
      <c r="H9" s="11"/>
      <c r="I9" s="12"/>
      <c r="J9" s="13"/>
      <c r="K9" s="40" t="str">
        <f t="shared" si="1"/>
        <v/>
      </c>
      <c r="M9" s="5">
        <v>3</v>
      </c>
      <c r="N9" s="41"/>
      <c r="O9" s="93" t="str">
        <f t="shared" si="2"/>
        <v/>
      </c>
      <c r="P9" s="11"/>
      <c r="Q9" s="11"/>
      <c r="R9" s="11"/>
      <c r="S9" s="11"/>
      <c r="T9" s="11"/>
      <c r="U9" s="12"/>
    </row>
    <row r="10" spans="1:21" s="94" customFormat="1" ht="14">
      <c r="A10" s="5">
        <v>4</v>
      </c>
      <c r="B10" s="41"/>
      <c r="C10" s="93" t="str">
        <f t="shared" si="0"/>
        <v/>
      </c>
      <c r="D10" s="11"/>
      <c r="E10" s="11"/>
      <c r="F10" s="11"/>
      <c r="G10" s="11"/>
      <c r="H10" s="11"/>
      <c r="I10" s="12"/>
      <c r="J10" s="13"/>
      <c r="K10" s="40" t="str">
        <f t="shared" si="1"/>
        <v/>
      </c>
      <c r="M10" s="5">
        <v>4</v>
      </c>
      <c r="N10" s="41"/>
      <c r="O10" s="93" t="str">
        <f t="shared" si="2"/>
        <v/>
      </c>
      <c r="P10" s="11"/>
      <c r="Q10" s="11"/>
      <c r="R10" s="11"/>
      <c r="S10" s="11"/>
      <c r="T10" s="11"/>
      <c r="U10" s="12"/>
    </row>
    <row r="11" spans="1:21" s="94" customFormat="1" ht="14">
      <c r="A11" s="5">
        <v>5</v>
      </c>
      <c r="B11" s="41"/>
      <c r="C11" s="93" t="str">
        <f t="shared" si="0"/>
        <v/>
      </c>
      <c r="D11" s="11"/>
      <c r="E11" s="11"/>
      <c r="F11" s="11"/>
      <c r="G11" s="11"/>
      <c r="H11" s="11"/>
      <c r="I11" s="12"/>
      <c r="J11" s="13"/>
      <c r="K11" s="40" t="str">
        <f t="shared" si="1"/>
        <v/>
      </c>
      <c r="M11" s="5">
        <v>5</v>
      </c>
      <c r="N11" s="41"/>
      <c r="O11" s="93" t="str">
        <f t="shared" si="2"/>
        <v/>
      </c>
      <c r="P11" s="11"/>
      <c r="Q11" s="11"/>
      <c r="R11" s="11"/>
      <c r="S11" s="11"/>
      <c r="T11" s="11"/>
      <c r="U11" s="12"/>
    </row>
    <row r="12" spans="1:21" s="94" customFormat="1" ht="14">
      <c r="A12" s="5">
        <v>6</v>
      </c>
      <c r="B12" s="41"/>
      <c r="C12" s="93" t="str">
        <f t="shared" si="0"/>
        <v/>
      </c>
      <c r="D12" s="11"/>
      <c r="E12" s="11"/>
      <c r="F12" s="11"/>
      <c r="G12" s="11"/>
      <c r="H12" s="11"/>
      <c r="I12" s="12"/>
      <c r="J12" s="13"/>
      <c r="K12" s="40" t="str">
        <f t="shared" si="1"/>
        <v/>
      </c>
      <c r="M12" s="5">
        <v>6</v>
      </c>
      <c r="N12" s="41"/>
      <c r="O12" s="93" t="str">
        <f t="shared" si="2"/>
        <v/>
      </c>
      <c r="P12" s="11"/>
      <c r="Q12" s="11"/>
      <c r="R12" s="11"/>
      <c r="S12" s="11"/>
      <c r="T12" s="11"/>
      <c r="U12" s="12"/>
    </row>
    <row r="13" spans="1:21" s="94" customFormat="1" ht="14">
      <c r="A13" s="5">
        <v>7</v>
      </c>
      <c r="B13" s="41"/>
      <c r="C13" s="93" t="str">
        <f t="shared" si="0"/>
        <v/>
      </c>
      <c r="D13" s="11"/>
      <c r="E13" s="11"/>
      <c r="F13" s="11"/>
      <c r="G13" s="11"/>
      <c r="H13" s="11"/>
      <c r="I13" s="12"/>
      <c r="J13" s="13"/>
      <c r="K13" s="40" t="str">
        <f t="shared" si="1"/>
        <v/>
      </c>
      <c r="M13" s="5">
        <v>7</v>
      </c>
      <c r="N13" s="41"/>
      <c r="O13" s="93" t="str">
        <f t="shared" si="2"/>
        <v/>
      </c>
      <c r="P13" s="11"/>
      <c r="Q13" s="11"/>
      <c r="R13" s="11"/>
      <c r="S13" s="11"/>
      <c r="T13" s="11"/>
      <c r="U13" s="12"/>
    </row>
    <row r="14" spans="1:21" s="94" customFormat="1" ht="14">
      <c r="A14" s="5">
        <v>8</v>
      </c>
      <c r="B14" s="41"/>
      <c r="C14" s="93" t="str">
        <f t="shared" si="0"/>
        <v/>
      </c>
      <c r="D14" s="11"/>
      <c r="E14" s="11"/>
      <c r="F14" s="11"/>
      <c r="G14" s="11"/>
      <c r="H14" s="11"/>
      <c r="I14" s="12"/>
      <c r="J14" s="13"/>
      <c r="K14" s="40" t="str">
        <f t="shared" si="1"/>
        <v/>
      </c>
      <c r="M14" s="5">
        <v>8</v>
      </c>
      <c r="N14" s="41"/>
      <c r="O14" s="93" t="str">
        <f t="shared" si="2"/>
        <v/>
      </c>
      <c r="P14" s="11"/>
      <c r="Q14" s="11"/>
      <c r="R14" s="11"/>
      <c r="S14" s="11"/>
      <c r="T14" s="11"/>
      <c r="U14" s="12"/>
    </row>
    <row r="15" spans="1:21" s="94" customFormat="1" ht="14">
      <c r="A15" s="5">
        <v>9</v>
      </c>
      <c r="B15" s="41"/>
      <c r="C15" s="93" t="str">
        <f t="shared" si="0"/>
        <v/>
      </c>
      <c r="D15" s="11"/>
      <c r="E15" s="11"/>
      <c r="F15" s="11"/>
      <c r="G15" s="11"/>
      <c r="H15" s="11"/>
      <c r="I15" s="12"/>
      <c r="J15" s="13"/>
      <c r="K15" s="40" t="str">
        <f t="shared" si="1"/>
        <v/>
      </c>
      <c r="M15" s="5">
        <v>9</v>
      </c>
      <c r="N15" s="41"/>
      <c r="O15" s="93" t="str">
        <f t="shared" si="2"/>
        <v/>
      </c>
      <c r="P15" s="11"/>
      <c r="Q15" s="11"/>
      <c r="R15" s="11"/>
      <c r="S15" s="11"/>
      <c r="T15" s="11"/>
      <c r="U15" s="12"/>
    </row>
    <row r="16" spans="1:21" s="94" customFormat="1" ht="14">
      <c r="A16" s="5">
        <v>10</v>
      </c>
      <c r="B16" s="41"/>
      <c r="C16" s="93" t="str">
        <f t="shared" si="0"/>
        <v/>
      </c>
      <c r="D16" s="11"/>
      <c r="E16" s="11"/>
      <c r="F16" s="11"/>
      <c r="G16" s="11"/>
      <c r="H16" s="11"/>
      <c r="I16" s="12"/>
      <c r="J16" s="13"/>
      <c r="K16" s="40" t="str">
        <f t="shared" si="1"/>
        <v/>
      </c>
      <c r="M16" s="5">
        <v>10</v>
      </c>
      <c r="N16" s="41"/>
      <c r="O16" s="93" t="str">
        <f t="shared" si="2"/>
        <v/>
      </c>
      <c r="P16" s="11"/>
      <c r="Q16" s="11"/>
      <c r="R16" s="11"/>
      <c r="S16" s="11"/>
      <c r="T16" s="11"/>
      <c r="U16" s="12"/>
    </row>
    <row r="17" spans="1:21" s="94" customFormat="1" ht="14">
      <c r="A17" s="5">
        <v>11</v>
      </c>
      <c r="B17" s="41"/>
      <c r="C17" s="93" t="str">
        <f t="shared" si="0"/>
        <v/>
      </c>
      <c r="D17" s="11"/>
      <c r="E17" s="11"/>
      <c r="F17" s="11"/>
      <c r="G17" s="11"/>
      <c r="H17" s="11"/>
      <c r="I17" s="12"/>
      <c r="J17" s="13"/>
      <c r="K17" s="40" t="str">
        <f t="shared" si="1"/>
        <v/>
      </c>
      <c r="M17" s="5">
        <v>11</v>
      </c>
      <c r="N17" s="41"/>
      <c r="O17" s="93" t="str">
        <f t="shared" si="2"/>
        <v/>
      </c>
      <c r="P17" s="11"/>
      <c r="Q17" s="11"/>
      <c r="R17" s="11"/>
      <c r="S17" s="11"/>
      <c r="T17" s="11"/>
      <c r="U17" s="12"/>
    </row>
    <row r="18" spans="1:21" s="94" customFormat="1" ht="14">
      <c r="A18" s="5">
        <v>12</v>
      </c>
      <c r="B18" s="41"/>
      <c r="C18" s="93" t="str">
        <f t="shared" si="0"/>
        <v/>
      </c>
      <c r="D18" s="11"/>
      <c r="E18" s="11"/>
      <c r="F18" s="11"/>
      <c r="G18" s="11"/>
      <c r="H18" s="11"/>
      <c r="I18" s="12"/>
      <c r="J18" s="13"/>
      <c r="K18" s="40" t="str">
        <f t="shared" si="1"/>
        <v/>
      </c>
      <c r="M18" s="5">
        <v>12</v>
      </c>
      <c r="N18" s="41"/>
      <c r="O18" s="93" t="str">
        <f t="shared" si="2"/>
        <v/>
      </c>
      <c r="P18" s="11"/>
      <c r="Q18" s="11"/>
      <c r="R18" s="11"/>
      <c r="S18" s="11"/>
      <c r="T18" s="11"/>
      <c r="U18" s="12"/>
    </row>
    <row r="19" spans="1:21" s="94" customFormat="1" ht="14">
      <c r="A19" s="5">
        <v>13</v>
      </c>
      <c r="B19" s="41"/>
      <c r="C19" s="93" t="str">
        <f t="shared" si="0"/>
        <v/>
      </c>
      <c r="D19" s="11"/>
      <c r="E19" s="11"/>
      <c r="F19" s="11"/>
      <c r="G19" s="11"/>
      <c r="H19" s="11"/>
      <c r="I19" s="12"/>
      <c r="J19" s="13"/>
      <c r="K19" s="40" t="str">
        <f t="shared" si="1"/>
        <v/>
      </c>
      <c r="M19" s="5">
        <v>13</v>
      </c>
      <c r="N19" s="41"/>
      <c r="O19" s="93" t="str">
        <f t="shared" si="2"/>
        <v/>
      </c>
      <c r="P19" s="11"/>
      <c r="Q19" s="11"/>
      <c r="R19" s="11"/>
      <c r="S19" s="11"/>
      <c r="T19" s="11"/>
      <c r="U19" s="12"/>
    </row>
    <row r="20" spans="1:21" s="94" customFormat="1" ht="14">
      <c r="A20" s="5">
        <v>14</v>
      </c>
      <c r="B20" s="41"/>
      <c r="C20" s="93" t="str">
        <f t="shared" si="0"/>
        <v/>
      </c>
      <c r="D20" s="11"/>
      <c r="E20" s="11"/>
      <c r="F20" s="11"/>
      <c r="G20" s="11"/>
      <c r="H20" s="11"/>
      <c r="I20" s="12"/>
      <c r="J20" s="13"/>
      <c r="K20" s="40" t="str">
        <f t="shared" si="1"/>
        <v/>
      </c>
      <c r="M20" s="5">
        <v>14</v>
      </c>
      <c r="N20" s="41"/>
      <c r="O20" s="93" t="str">
        <f t="shared" si="2"/>
        <v/>
      </c>
      <c r="P20" s="11"/>
      <c r="Q20" s="11"/>
      <c r="R20" s="11"/>
      <c r="S20" s="11"/>
      <c r="T20" s="11"/>
      <c r="U20" s="12"/>
    </row>
    <row r="21" spans="1:21" s="94" customFormat="1" ht="14">
      <c r="A21" s="5">
        <v>15</v>
      </c>
      <c r="B21" s="41"/>
      <c r="C21" s="93" t="str">
        <f t="shared" si="0"/>
        <v/>
      </c>
      <c r="D21" s="11"/>
      <c r="E21" s="11"/>
      <c r="F21" s="11"/>
      <c r="G21" s="11"/>
      <c r="H21" s="11"/>
      <c r="I21" s="12"/>
      <c r="J21" s="13"/>
      <c r="K21" s="40" t="str">
        <f t="shared" si="1"/>
        <v/>
      </c>
      <c r="M21" s="5">
        <v>15</v>
      </c>
      <c r="N21" s="41"/>
      <c r="O21" s="93" t="str">
        <f t="shared" si="2"/>
        <v/>
      </c>
      <c r="P21" s="11"/>
      <c r="Q21" s="11"/>
      <c r="R21" s="11"/>
      <c r="S21" s="11"/>
      <c r="T21" s="11"/>
      <c r="U21" s="12"/>
    </row>
    <row r="22" spans="1:21" s="94" customFormat="1" ht="14">
      <c r="A22" s="5">
        <v>16</v>
      </c>
      <c r="B22" s="41"/>
      <c r="C22" s="93" t="str">
        <f t="shared" si="0"/>
        <v/>
      </c>
      <c r="D22" s="11"/>
      <c r="E22" s="11"/>
      <c r="F22" s="11"/>
      <c r="G22" s="11"/>
      <c r="H22" s="11"/>
      <c r="I22" s="12"/>
      <c r="J22" s="13"/>
      <c r="K22" s="40" t="str">
        <f t="shared" si="1"/>
        <v/>
      </c>
      <c r="M22" s="5">
        <v>16</v>
      </c>
      <c r="N22" s="41"/>
      <c r="O22" s="93" t="str">
        <f t="shared" si="2"/>
        <v/>
      </c>
      <c r="P22" s="11"/>
      <c r="Q22" s="11"/>
      <c r="R22" s="11"/>
      <c r="S22" s="11"/>
      <c r="T22" s="11"/>
      <c r="U22" s="12"/>
    </row>
    <row r="23" spans="1:21" s="94" customFormat="1" ht="14">
      <c r="A23" s="5">
        <v>17</v>
      </c>
      <c r="B23" s="41"/>
      <c r="C23" s="93" t="str">
        <f t="shared" si="0"/>
        <v/>
      </c>
      <c r="D23" s="11"/>
      <c r="E23" s="11"/>
      <c r="F23" s="11"/>
      <c r="G23" s="11"/>
      <c r="H23" s="11"/>
      <c r="I23" s="12"/>
      <c r="J23" s="13"/>
      <c r="K23" s="40" t="str">
        <f t="shared" si="1"/>
        <v/>
      </c>
      <c r="M23" s="5">
        <v>17</v>
      </c>
      <c r="N23" s="41"/>
      <c r="O23" s="93" t="str">
        <f t="shared" si="2"/>
        <v/>
      </c>
      <c r="P23" s="11"/>
      <c r="Q23" s="11"/>
      <c r="R23" s="11"/>
      <c r="S23" s="11"/>
      <c r="T23" s="11"/>
      <c r="U23" s="12"/>
    </row>
    <row r="24" spans="1:21" s="94" customFormat="1" ht="14">
      <c r="A24" s="5">
        <v>18</v>
      </c>
      <c r="B24" s="41"/>
      <c r="C24" s="93" t="str">
        <f t="shared" si="0"/>
        <v/>
      </c>
      <c r="D24" s="11"/>
      <c r="E24" s="11"/>
      <c r="F24" s="11"/>
      <c r="G24" s="11"/>
      <c r="H24" s="11"/>
      <c r="I24" s="12"/>
      <c r="J24" s="13"/>
      <c r="K24" s="40" t="str">
        <f t="shared" si="1"/>
        <v/>
      </c>
      <c r="M24" s="5">
        <v>18</v>
      </c>
      <c r="N24" s="41"/>
      <c r="O24" s="93" t="str">
        <f t="shared" si="2"/>
        <v/>
      </c>
      <c r="P24" s="11"/>
      <c r="Q24" s="11"/>
      <c r="R24" s="11"/>
      <c r="S24" s="11"/>
      <c r="T24" s="11"/>
      <c r="U24" s="12"/>
    </row>
    <row r="25" spans="1:21" s="94" customFormat="1" ht="14">
      <c r="A25" s="5">
        <v>19</v>
      </c>
      <c r="B25" s="41"/>
      <c r="C25" s="93" t="str">
        <f t="shared" si="0"/>
        <v/>
      </c>
      <c r="D25" s="11"/>
      <c r="E25" s="11"/>
      <c r="F25" s="11"/>
      <c r="G25" s="11"/>
      <c r="H25" s="11"/>
      <c r="I25" s="12"/>
      <c r="J25" s="13"/>
      <c r="K25" s="40" t="str">
        <f t="shared" si="1"/>
        <v/>
      </c>
      <c r="M25" s="5">
        <v>19</v>
      </c>
      <c r="N25" s="41"/>
      <c r="O25" s="93" t="str">
        <f t="shared" si="2"/>
        <v/>
      </c>
      <c r="P25" s="11"/>
      <c r="Q25" s="11"/>
      <c r="R25" s="11"/>
      <c r="S25" s="11"/>
      <c r="T25" s="11"/>
      <c r="U25" s="12"/>
    </row>
    <row r="26" spans="1:21" s="94" customFormat="1" ht="14">
      <c r="A26" s="5">
        <v>20</v>
      </c>
      <c r="B26" s="41"/>
      <c r="C26" s="93" t="str">
        <f t="shared" si="0"/>
        <v/>
      </c>
      <c r="D26" s="11"/>
      <c r="E26" s="11"/>
      <c r="F26" s="11"/>
      <c r="G26" s="11"/>
      <c r="H26" s="11"/>
      <c r="I26" s="12"/>
      <c r="J26" s="13"/>
      <c r="K26" s="40" t="str">
        <f t="shared" si="1"/>
        <v/>
      </c>
      <c r="M26" s="5">
        <v>20</v>
      </c>
      <c r="N26" s="41"/>
      <c r="O26" s="93" t="str">
        <f t="shared" si="2"/>
        <v/>
      </c>
      <c r="P26" s="11"/>
      <c r="Q26" s="11"/>
      <c r="R26" s="11"/>
      <c r="S26" s="11"/>
      <c r="T26" s="11"/>
      <c r="U26" s="12"/>
    </row>
    <row r="27" spans="1:21" s="94" customFormat="1" ht="14">
      <c r="A27" s="5">
        <v>21</v>
      </c>
      <c r="B27" s="41"/>
      <c r="C27" s="93" t="str">
        <f t="shared" si="0"/>
        <v/>
      </c>
      <c r="D27" s="11"/>
      <c r="E27" s="11"/>
      <c r="F27" s="11"/>
      <c r="G27" s="11"/>
      <c r="H27" s="11"/>
      <c r="I27" s="12"/>
      <c r="J27" s="13"/>
      <c r="K27" s="40" t="str">
        <f t="shared" si="1"/>
        <v/>
      </c>
      <c r="M27" s="5">
        <v>21</v>
      </c>
      <c r="N27" s="41"/>
      <c r="O27" s="93" t="str">
        <f t="shared" si="2"/>
        <v/>
      </c>
      <c r="P27" s="11"/>
      <c r="Q27" s="11"/>
      <c r="R27" s="11"/>
      <c r="S27" s="11"/>
      <c r="T27" s="11"/>
      <c r="U27" s="12"/>
    </row>
    <row r="28" spans="1:21" s="94" customFormat="1" ht="14">
      <c r="A28" s="5">
        <v>22</v>
      </c>
      <c r="B28" s="41"/>
      <c r="C28" s="93" t="str">
        <f t="shared" si="0"/>
        <v/>
      </c>
      <c r="D28" s="11"/>
      <c r="E28" s="11"/>
      <c r="F28" s="11"/>
      <c r="G28" s="11"/>
      <c r="H28" s="11"/>
      <c r="I28" s="12"/>
      <c r="J28" s="13"/>
      <c r="K28" s="40" t="str">
        <f t="shared" si="1"/>
        <v/>
      </c>
      <c r="M28" s="5">
        <v>22</v>
      </c>
      <c r="N28" s="41"/>
      <c r="O28" s="93" t="str">
        <f t="shared" si="2"/>
        <v/>
      </c>
      <c r="P28" s="11"/>
      <c r="Q28" s="11"/>
      <c r="R28" s="11"/>
      <c r="S28" s="11"/>
      <c r="T28" s="11"/>
      <c r="U28" s="12"/>
    </row>
    <row r="29" spans="1:21" s="94" customFormat="1" ht="14">
      <c r="A29" s="5">
        <v>23</v>
      </c>
      <c r="B29" s="41"/>
      <c r="C29" s="93" t="str">
        <f t="shared" si="0"/>
        <v/>
      </c>
      <c r="D29" s="11"/>
      <c r="E29" s="11"/>
      <c r="F29" s="11"/>
      <c r="G29" s="11"/>
      <c r="H29" s="11"/>
      <c r="I29" s="12"/>
      <c r="J29" s="13"/>
      <c r="K29" s="40" t="str">
        <f t="shared" si="1"/>
        <v/>
      </c>
      <c r="M29" s="5">
        <v>23</v>
      </c>
      <c r="N29" s="41"/>
      <c r="O29" s="93" t="str">
        <f t="shared" si="2"/>
        <v/>
      </c>
      <c r="P29" s="11"/>
      <c r="Q29" s="11"/>
      <c r="R29" s="11"/>
      <c r="S29" s="11"/>
      <c r="T29" s="11"/>
      <c r="U29" s="12"/>
    </row>
    <row r="30" spans="1:21" s="94" customFormat="1" ht="14">
      <c r="A30" s="5">
        <v>24</v>
      </c>
      <c r="B30" s="41"/>
      <c r="C30" s="93" t="str">
        <f t="shared" si="0"/>
        <v/>
      </c>
      <c r="D30" s="11"/>
      <c r="E30" s="11"/>
      <c r="F30" s="11"/>
      <c r="G30" s="11"/>
      <c r="H30" s="11"/>
      <c r="I30" s="12"/>
      <c r="J30" s="13"/>
      <c r="K30" s="40" t="str">
        <f t="shared" si="1"/>
        <v/>
      </c>
      <c r="M30" s="5">
        <v>24</v>
      </c>
      <c r="N30" s="41"/>
      <c r="O30" s="93" t="str">
        <f t="shared" si="2"/>
        <v/>
      </c>
      <c r="P30" s="11"/>
      <c r="Q30" s="11"/>
      <c r="R30" s="11"/>
      <c r="S30" s="11"/>
      <c r="T30" s="11"/>
      <c r="U30" s="12"/>
    </row>
    <row r="31" spans="1:21" s="94" customFormat="1" ht="14">
      <c r="A31" s="5">
        <v>25</v>
      </c>
      <c r="B31" s="41"/>
      <c r="C31" s="93" t="str">
        <f t="shared" si="0"/>
        <v/>
      </c>
      <c r="D31" s="11"/>
      <c r="E31" s="11"/>
      <c r="F31" s="11"/>
      <c r="G31" s="11"/>
      <c r="H31" s="11"/>
      <c r="I31" s="12"/>
      <c r="J31" s="13"/>
      <c r="K31" s="40" t="str">
        <f t="shared" si="1"/>
        <v/>
      </c>
      <c r="M31" s="5">
        <v>25</v>
      </c>
      <c r="N31" s="41"/>
      <c r="O31" s="93" t="str">
        <f t="shared" si="2"/>
        <v/>
      </c>
      <c r="P31" s="11"/>
      <c r="Q31" s="11"/>
      <c r="R31" s="11"/>
      <c r="S31" s="11"/>
      <c r="T31" s="11"/>
      <c r="U31" s="12"/>
    </row>
    <row r="32" spans="1:21" s="94" customFormat="1" ht="14">
      <c r="A32" s="5">
        <v>26</v>
      </c>
      <c r="B32" s="41"/>
      <c r="C32" s="93" t="str">
        <f t="shared" si="0"/>
        <v/>
      </c>
      <c r="D32" s="11"/>
      <c r="E32" s="11"/>
      <c r="F32" s="11"/>
      <c r="G32" s="11"/>
      <c r="H32" s="11"/>
      <c r="I32" s="12"/>
      <c r="J32" s="13"/>
      <c r="K32" s="40" t="str">
        <f t="shared" si="1"/>
        <v/>
      </c>
      <c r="M32" s="5">
        <v>26</v>
      </c>
      <c r="N32" s="41"/>
      <c r="O32" s="93" t="str">
        <f t="shared" si="2"/>
        <v/>
      </c>
      <c r="P32" s="11"/>
      <c r="Q32" s="11"/>
      <c r="R32" s="11"/>
      <c r="S32" s="11"/>
      <c r="T32" s="11"/>
      <c r="U32" s="12"/>
    </row>
    <row r="33" spans="1:21" ht="14">
      <c r="A33" s="5">
        <v>27</v>
      </c>
      <c r="B33" s="41"/>
      <c r="C33" s="93" t="str">
        <f t="shared" si="0"/>
        <v/>
      </c>
      <c r="D33" s="11"/>
      <c r="E33" s="11"/>
      <c r="F33" s="11"/>
      <c r="G33" s="11"/>
      <c r="H33" s="11"/>
      <c r="I33" s="12"/>
      <c r="J33" s="13"/>
      <c r="K33" s="40" t="str">
        <f t="shared" si="1"/>
        <v/>
      </c>
      <c r="M33" s="5">
        <v>27</v>
      </c>
      <c r="N33" s="41"/>
      <c r="O33" s="93" t="str">
        <f t="shared" si="2"/>
        <v/>
      </c>
      <c r="P33" s="11"/>
      <c r="Q33" s="11"/>
      <c r="R33" s="11"/>
      <c r="S33" s="11"/>
      <c r="T33" s="11"/>
      <c r="U33" s="12"/>
    </row>
    <row r="34" spans="1:21" ht="14">
      <c r="A34" s="5">
        <v>28</v>
      </c>
      <c r="B34" s="41"/>
      <c r="C34" s="93" t="str">
        <f t="shared" si="0"/>
        <v/>
      </c>
      <c r="D34" s="11"/>
      <c r="E34" s="11"/>
      <c r="F34" s="11"/>
      <c r="G34" s="11"/>
      <c r="H34" s="11"/>
      <c r="I34" s="12"/>
      <c r="J34" s="13"/>
      <c r="K34" s="40" t="str">
        <f t="shared" si="1"/>
        <v/>
      </c>
      <c r="M34" s="5">
        <v>28</v>
      </c>
      <c r="N34" s="41"/>
      <c r="O34" s="93" t="str">
        <f t="shared" si="2"/>
        <v/>
      </c>
      <c r="P34" s="11"/>
      <c r="Q34" s="11"/>
      <c r="R34" s="11"/>
      <c r="S34" s="11"/>
      <c r="T34" s="11"/>
      <c r="U34" s="12"/>
    </row>
    <row r="35" spans="1:21" ht="14">
      <c r="A35" s="5">
        <v>29</v>
      </c>
      <c r="B35" s="41"/>
      <c r="C35" s="93" t="str">
        <f t="shared" si="0"/>
        <v/>
      </c>
      <c r="D35" s="11"/>
      <c r="E35" s="11"/>
      <c r="F35" s="11"/>
      <c r="G35" s="11"/>
      <c r="H35" s="11"/>
      <c r="I35" s="12"/>
      <c r="J35" s="13"/>
      <c r="K35" s="40" t="str">
        <f t="shared" si="1"/>
        <v/>
      </c>
      <c r="M35" s="5">
        <v>29</v>
      </c>
      <c r="N35" s="41"/>
      <c r="O35" s="93" t="str">
        <f t="shared" si="2"/>
        <v/>
      </c>
      <c r="P35" s="11"/>
      <c r="Q35" s="11"/>
      <c r="R35" s="11"/>
      <c r="S35" s="11"/>
      <c r="T35" s="11"/>
      <c r="U35" s="12"/>
    </row>
    <row r="36" spans="1:21" ht="14">
      <c r="A36" s="5">
        <v>30</v>
      </c>
      <c r="B36" s="41"/>
      <c r="C36" s="93" t="str">
        <f t="shared" si="0"/>
        <v/>
      </c>
      <c r="D36" s="11"/>
      <c r="E36" s="11"/>
      <c r="F36" s="11"/>
      <c r="G36" s="11"/>
      <c r="H36" s="11"/>
      <c r="I36" s="12"/>
      <c r="J36" s="13"/>
      <c r="K36" s="40" t="str">
        <f t="shared" si="1"/>
        <v/>
      </c>
      <c r="M36" s="5">
        <v>30</v>
      </c>
      <c r="N36" s="41"/>
      <c r="O36" s="93" t="str">
        <f t="shared" si="2"/>
        <v/>
      </c>
      <c r="P36" s="11"/>
      <c r="Q36" s="11"/>
      <c r="R36" s="11"/>
      <c r="S36" s="11"/>
      <c r="T36" s="11"/>
      <c r="U36" s="12"/>
    </row>
    <row r="37" spans="1:21" ht="14">
      <c r="A37" s="5">
        <v>31</v>
      </c>
      <c r="B37" s="41"/>
      <c r="C37" s="93" t="str">
        <f t="shared" si="0"/>
        <v/>
      </c>
      <c r="D37" s="11"/>
      <c r="E37" s="11"/>
      <c r="F37" s="11"/>
      <c r="G37" s="11"/>
      <c r="H37" s="11"/>
      <c r="I37" s="12"/>
      <c r="J37" s="13"/>
      <c r="K37" s="40" t="str">
        <f t="shared" si="1"/>
        <v/>
      </c>
      <c r="M37" s="5">
        <v>31</v>
      </c>
      <c r="N37" s="41"/>
      <c r="O37" s="93" t="str">
        <f t="shared" si="2"/>
        <v/>
      </c>
      <c r="P37" s="11"/>
      <c r="Q37" s="11"/>
      <c r="R37" s="11"/>
      <c r="S37" s="11"/>
      <c r="T37" s="11"/>
      <c r="U37" s="12"/>
    </row>
    <row r="38" spans="1:21" ht="14">
      <c r="A38" s="5">
        <v>32</v>
      </c>
      <c r="B38" s="41"/>
      <c r="C38" s="93" t="str">
        <f t="shared" si="0"/>
        <v/>
      </c>
      <c r="D38" s="11"/>
      <c r="E38" s="11"/>
      <c r="F38" s="11"/>
      <c r="G38" s="11"/>
      <c r="H38" s="11"/>
      <c r="I38" s="12"/>
      <c r="J38" s="13"/>
      <c r="K38" s="40" t="str">
        <f t="shared" si="1"/>
        <v/>
      </c>
      <c r="M38" s="5">
        <v>32</v>
      </c>
      <c r="N38" s="41"/>
      <c r="O38" s="93" t="str">
        <f t="shared" si="2"/>
        <v/>
      </c>
      <c r="P38" s="11"/>
      <c r="Q38" s="11"/>
      <c r="R38" s="11"/>
      <c r="S38" s="11"/>
      <c r="T38" s="11"/>
      <c r="U38" s="12"/>
    </row>
    <row r="39" spans="1:21" ht="14">
      <c r="A39" s="5">
        <v>33</v>
      </c>
      <c r="B39" s="41"/>
      <c r="C39" s="93" t="str">
        <f t="shared" si="0"/>
        <v/>
      </c>
      <c r="D39" s="11"/>
      <c r="E39" s="11"/>
      <c r="F39" s="11"/>
      <c r="G39" s="11"/>
      <c r="H39" s="11"/>
      <c r="I39" s="12"/>
      <c r="J39" s="13"/>
      <c r="K39" s="40" t="str">
        <f t="shared" si="1"/>
        <v/>
      </c>
      <c r="M39" s="5">
        <v>33</v>
      </c>
      <c r="N39" s="41"/>
      <c r="O39" s="93" t="str">
        <f t="shared" si="2"/>
        <v/>
      </c>
      <c r="P39" s="11"/>
      <c r="Q39" s="11"/>
      <c r="R39" s="11"/>
      <c r="S39" s="11"/>
      <c r="T39" s="11"/>
      <c r="U39" s="12"/>
    </row>
    <row r="40" spans="1:21" ht="14">
      <c r="A40" s="5">
        <v>34</v>
      </c>
      <c r="B40" s="41"/>
      <c r="C40" s="93" t="str">
        <f t="shared" si="0"/>
        <v/>
      </c>
      <c r="D40" s="11"/>
      <c r="E40" s="11"/>
      <c r="F40" s="11"/>
      <c r="G40" s="11"/>
      <c r="H40" s="11"/>
      <c r="I40" s="12"/>
      <c r="J40" s="13"/>
      <c r="K40" s="40" t="str">
        <f t="shared" si="1"/>
        <v/>
      </c>
      <c r="M40" s="5">
        <v>34</v>
      </c>
      <c r="N40" s="41"/>
      <c r="O40" s="93" t="str">
        <f t="shared" si="2"/>
        <v/>
      </c>
      <c r="P40" s="11"/>
      <c r="Q40" s="11"/>
      <c r="R40" s="11"/>
      <c r="S40" s="11"/>
      <c r="T40" s="11"/>
      <c r="U40" s="12"/>
    </row>
    <row r="41" spans="1:21" ht="14">
      <c r="A41" s="5">
        <v>35</v>
      </c>
      <c r="B41" s="41"/>
      <c r="C41" s="93" t="str">
        <f t="shared" si="0"/>
        <v/>
      </c>
      <c r="D41" s="11"/>
      <c r="E41" s="11"/>
      <c r="F41" s="11"/>
      <c r="G41" s="11"/>
      <c r="H41" s="11"/>
      <c r="I41" s="12"/>
      <c r="J41" s="13"/>
      <c r="K41" s="40" t="str">
        <f t="shared" si="1"/>
        <v/>
      </c>
      <c r="M41" s="5">
        <v>35</v>
      </c>
      <c r="N41" s="41"/>
      <c r="O41" s="93" t="str">
        <f t="shared" si="2"/>
        <v/>
      </c>
      <c r="P41" s="11"/>
      <c r="Q41" s="11"/>
      <c r="R41" s="11"/>
      <c r="S41" s="11"/>
      <c r="T41" s="11"/>
      <c r="U41" s="12"/>
    </row>
    <row r="42" spans="1:21" ht="14">
      <c r="A42" s="5">
        <v>36</v>
      </c>
      <c r="B42" s="41"/>
      <c r="C42" s="93" t="str">
        <f t="shared" si="0"/>
        <v/>
      </c>
      <c r="D42" s="11"/>
      <c r="E42" s="11"/>
      <c r="F42" s="11"/>
      <c r="G42" s="11"/>
      <c r="H42" s="11"/>
      <c r="I42" s="12"/>
      <c r="J42" s="13"/>
      <c r="K42" s="40" t="str">
        <f t="shared" si="1"/>
        <v/>
      </c>
      <c r="M42" s="5">
        <v>36</v>
      </c>
      <c r="N42" s="41"/>
      <c r="O42" s="93" t="str">
        <f t="shared" si="2"/>
        <v/>
      </c>
      <c r="P42" s="11"/>
      <c r="Q42" s="11"/>
      <c r="R42" s="11"/>
      <c r="S42" s="11"/>
      <c r="T42" s="11"/>
      <c r="U42" s="12"/>
    </row>
    <row r="43" spans="1:21" ht="14">
      <c r="A43" s="5">
        <v>37</v>
      </c>
      <c r="B43" s="41"/>
      <c r="C43" s="93" t="str">
        <f t="shared" si="0"/>
        <v/>
      </c>
      <c r="D43" s="11"/>
      <c r="E43" s="11"/>
      <c r="F43" s="11"/>
      <c r="G43" s="11"/>
      <c r="H43" s="11"/>
      <c r="I43" s="12"/>
      <c r="J43" s="13"/>
      <c r="K43" s="40" t="str">
        <f t="shared" si="1"/>
        <v/>
      </c>
      <c r="M43" s="5">
        <v>37</v>
      </c>
      <c r="N43" s="41"/>
      <c r="O43" s="93" t="str">
        <f t="shared" si="2"/>
        <v/>
      </c>
      <c r="P43" s="11"/>
      <c r="Q43" s="11"/>
      <c r="R43" s="11"/>
      <c r="S43" s="11"/>
      <c r="T43" s="11"/>
      <c r="U43" s="12"/>
    </row>
    <row r="44" spans="1:21" ht="14">
      <c r="A44" s="5">
        <v>38</v>
      </c>
      <c r="B44" s="41"/>
      <c r="C44" s="93" t="str">
        <f t="shared" si="0"/>
        <v/>
      </c>
      <c r="D44" s="11"/>
      <c r="E44" s="11"/>
      <c r="F44" s="11"/>
      <c r="G44" s="11"/>
      <c r="H44" s="11"/>
      <c r="I44" s="12"/>
      <c r="J44" s="13"/>
      <c r="K44" s="40" t="str">
        <f t="shared" si="1"/>
        <v/>
      </c>
      <c r="M44" s="5">
        <v>38</v>
      </c>
      <c r="N44" s="41"/>
      <c r="O44" s="93" t="str">
        <f t="shared" si="2"/>
        <v/>
      </c>
      <c r="P44" s="11"/>
      <c r="Q44" s="11"/>
      <c r="R44" s="11"/>
      <c r="S44" s="11"/>
      <c r="T44" s="11"/>
      <c r="U44" s="12"/>
    </row>
    <row r="45" spans="1:21" ht="14">
      <c r="A45" s="5">
        <v>39</v>
      </c>
      <c r="B45" s="41"/>
      <c r="C45" s="93" t="str">
        <f t="shared" si="0"/>
        <v/>
      </c>
      <c r="D45" s="11"/>
      <c r="E45" s="11"/>
      <c r="F45" s="11"/>
      <c r="G45" s="11"/>
      <c r="H45" s="11"/>
      <c r="I45" s="12"/>
      <c r="J45" s="13"/>
      <c r="K45" s="40" t="str">
        <f t="shared" si="1"/>
        <v/>
      </c>
      <c r="M45" s="5">
        <v>39</v>
      </c>
      <c r="N45" s="41"/>
      <c r="O45" s="93" t="str">
        <f t="shared" si="2"/>
        <v/>
      </c>
      <c r="P45" s="11"/>
      <c r="Q45" s="11"/>
      <c r="R45" s="11"/>
      <c r="S45" s="11"/>
      <c r="T45" s="11"/>
      <c r="U45" s="12"/>
    </row>
    <row r="46" spans="1:21" ht="14">
      <c r="A46" s="5">
        <v>40</v>
      </c>
      <c r="B46" s="41"/>
      <c r="C46" s="93" t="str">
        <f t="shared" si="0"/>
        <v/>
      </c>
      <c r="D46" s="11"/>
      <c r="E46" s="11"/>
      <c r="F46" s="11"/>
      <c r="G46" s="11"/>
      <c r="H46" s="11"/>
      <c r="I46" s="12"/>
      <c r="J46" s="13"/>
      <c r="K46" s="40" t="str">
        <f t="shared" si="1"/>
        <v/>
      </c>
      <c r="M46" s="5">
        <v>40</v>
      </c>
      <c r="N46" s="41"/>
      <c r="O46" s="93" t="str">
        <f t="shared" si="2"/>
        <v/>
      </c>
      <c r="P46" s="11"/>
      <c r="Q46" s="11"/>
      <c r="R46" s="11"/>
      <c r="S46" s="11"/>
      <c r="T46" s="11"/>
      <c r="U46" s="12"/>
    </row>
    <row r="47" spans="1:21" ht="14">
      <c r="A47" s="5">
        <v>41</v>
      </c>
      <c r="B47" s="41"/>
      <c r="C47" s="93" t="str">
        <f t="shared" si="0"/>
        <v/>
      </c>
      <c r="D47" s="11"/>
      <c r="E47" s="11"/>
      <c r="F47" s="11"/>
      <c r="G47" s="11"/>
      <c r="H47" s="11"/>
      <c r="I47" s="12"/>
      <c r="J47" s="13"/>
      <c r="K47" s="40" t="str">
        <f t="shared" si="1"/>
        <v/>
      </c>
      <c r="M47" s="5">
        <v>41</v>
      </c>
      <c r="N47" s="41"/>
      <c r="O47" s="93" t="str">
        <f t="shared" si="2"/>
        <v/>
      </c>
      <c r="P47" s="11"/>
      <c r="Q47" s="11"/>
      <c r="R47" s="11"/>
      <c r="S47" s="11"/>
      <c r="T47" s="11"/>
      <c r="U47" s="12"/>
    </row>
    <row r="48" spans="1:21" ht="14">
      <c r="A48" s="5">
        <v>42</v>
      </c>
      <c r="B48" s="41"/>
      <c r="C48" s="93" t="str">
        <f t="shared" si="0"/>
        <v/>
      </c>
      <c r="D48" s="11"/>
      <c r="E48" s="11"/>
      <c r="F48" s="11"/>
      <c r="G48" s="11"/>
      <c r="H48" s="11"/>
      <c r="I48" s="12"/>
      <c r="J48" s="13"/>
      <c r="K48" s="40" t="str">
        <f t="shared" si="1"/>
        <v/>
      </c>
      <c r="M48" s="5">
        <v>42</v>
      </c>
      <c r="N48" s="41"/>
      <c r="O48" s="93" t="str">
        <f t="shared" si="2"/>
        <v/>
      </c>
      <c r="P48" s="11"/>
      <c r="Q48" s="11"/>
      <c r="R48" s="11"/>
      <c r="S48" s="11"/>
      <c r="T48" s="11"/>
      <c r="U48" s="12"/>
    </row>
    <row r="49" spans="1:21" ht="14">
      <c r="A49" s="5">
        <v>43</v>
      </c>
      <c r="B49" s="41"/>
      <c r="C49" s="93" t="str">
        <f t="shared" si="0"/>
        <v/>
      </c>
      <c r="D49" s="11"/>
      <c r="E49" s="11"/>
      <c r="F49" s="11"/>
      <c r="G49" s="11"/>
      <c r="H49" s="11"/>
      <c r="I49" s="12"/>
      <c r="J49" s="13"/>
      <c r="K49" s="40" t="str">
        <f t="shared" si="1"/>
        <v/>
      </c>
      <c r="M49" s="5">
        <v>43</v>
      </c>
      <c r="N49" s="41"/>
      <c r="O49" s="93" t="str">
        <f t="shared" si="2"/>
        <v/>
      </c>
      <c r="P49" s="11"/>
      <c r="Q49" s="11"/>
      <c r="R49" s="11"/>
      <c r="S49" s="11"/>
      <c r="T49" s="11"/>
      <c r="U49" s="12"/>
    </row>
    <row r="50" spans="1:21" ht="14">
      <c r="A50" s="5">
        <v>44</v>
      </c>
      <c r="B50" s="41"/>
      <c r="C50" s="93" t="str">
        <f t="shared" si="0"/>
        <v/>
      </c>
      <c r="D50" s="11"/>
      <c r="E50" s="11"/>
      <c r="F50" s="11"/>
      <c r="G50" s="11"/>
      <c r="H50" s="11"/>
      <c r="I50" s="12"/>
      <c r="J50" s="13"/>
      <c r="K50" s="40" t="str">
        <f t="shared" si="1"/>
        <v/>
      </c>
      <c r="M50" s="5">
        <v>44</v>
      </c>
      <c r="N50" s="41"/>
      <c r="O50" s="93" t="str">
        <f t="shared" si="2"/>
        <v/>
      </c>
      <c r="P50" s="11"/>
      <c r="Q50" s="11"/>
      <c r="R50" s="11"/>
      <c r="S50" s="11"/>
      <c r="T50" s="11"/>
      <c r="U50" s="12"/>
    </row>
    <row r="51" spans="1:21" ht="14">
      <c r="A51" s="5">
        <v>45</v>
      </c>
      <c r="B51" s="41"/>
      <c r="C51" s="93" t="str">
        <f t="shared" si="0"/>
        <v/>
      </c>
      <c r="D51" s="11"/>
      <c r="E51" s="11"/>
      <c r="F51" s="11"/>
      <c r="G51" s="11"/>
      <c r="H51" s="11"/>
      <c r="I51" s="12"/>
      <c r="J51" s="13"/>
      <c r="K51" s="40" t="str">
        <f t="shared" si="1"/>
        <v/>
      </c>
      <c r="M51" s="5">
        <v>45</v>
      </c>
      <c r="N51" s="41"/>
      <c r="O51" s="93" t="str">
        <f t="shared" si="2"/>
        <v/>
      </c>
      <c r="P51" s="11"/>
      <c r="Q51" s="11"/>
      <c r="R51" s="11"/>
      <c r="S51" s="11"/>
      <c r="T51" s="11"/>
      <c r="U51" s="12"/>
    </row>
    <row r="52" spans="1:21" ht="14">
      <c r="A52" s="5">
        <v>46</v>
      </c>
      <c r="B52" s="41"/>
      <c r="C52" s="93" t="str">
        <f t="shared" si="0"/>
        <v/>
      </c>
      <c r="D52" s="11"/>
      <c r="E52" s="11"/>
      <c r="F52" s="11"/>
      <c r="G52" s="11"/>
      <c r="H52" s="11"/>
      <c r="I52" s="12"/>
      <c r="J52" s="13"/>
      <c r="K52" s="40" t="str">
        <f t="shared" si="1"/>
        <v/>
      </c>
      <c r="M52" s="5">
        <v>46</v>
      </c>
      <c r="N52" s="41"/>
      <c r="O52" s="93" t="str">
        <f t="shared" si="2"/>
        <v/>
      </c>
      <c r="P52" s="11"/>
      <c r="Q52" s="11"/>
      <c r="R52" s="11"/>
      <c r="S52" s="11"/>
      <c r="T52" s="11"/>
      <c r="U52" s="12"/>
    </row>
    <row r="53" spans="1:21" ht="14">
      <c r="A53" s="5">
        <v>47</v>
      </c>
      <c r="B53" s="41"/>
      <c r="C53" s="93" t="str">
        <f t="shared" si="0"/>
        <v/>
      </c>
      <c r="D53" s="11"/>
      <c r="E53" s="11"/>
      <c r="F53" s="11"/>
      <c r="G53" s="11"/>
      <c r="H53" s="11"/>
      <c r="I53" s="12"/>
      <c r="J53" s="13"/>
      <c r="K53" s="40" t="str">
        <f t="shared" si="1"/>
        <v/>
      </c>
      <c r="M53" s="5">
        <v>47</v>
      </c>
      <c r="N53" s="41"/>
      <c r="O53" s="93" t="str">
        <f t="shared" si="2"/>
        <v/>
      </c>
      <c r="P53" s="11"/>
      <c r="Q53" s="11"/>
      <c r="R53" s="11"/>
      <c r="S53" s="11"/>
      <c r="T53" s="11"/>
      <c r="U53" s="12"/>
    </row>
    <row r="54" spans="1:21" ht="14">
      <c r="A54" s="5">
        <v>48</v>
      </c>
      <c r="B54" s="41"/>
      <c r="C54" s="93" t="str">
        <f t="shared" si="0"/>
        <v/>
      </c>
      <c r="D54" s="11"/>
      <c r="E54" s="11"/>
      <c r="F54" s="11"/>
      <c r="G54" s="11"/>
      <c r="H54" s="11"/>
      <c r="I54" s="12"/>
      <c r="J54" s="13"/>
      <c r="K54" s="40" t="str">
        <f t="shared" si="1"/>
        <v/>
      </c>
      <c r="M54" s="5">
        <v>48</v>
      </c>
      <c r="N54" s="41"/>
      <c r="O54" s="93" t="str">
        <f t="shared" si="2"/>
        <v/>
      </c>
      <c r="P54" s="11"/>
      <c r="Q54" s="11"/>
      <c r="R54" s="11"/>
      <c r="S54" s="11"/>
      <c r="T54" s="11"/>
      <c r="U54" s="12"/>
    </row>
    <row r="55" spans="1:21" ht="14">
      <c r="A55" s="5">
        <v>49</v>
      </c>
      <c r="B55" s="41"/>
      <c r="C55" s="93" t="str">
        <f t="shared" si="0"/>
        <v/>
      </c>
      <c r="D55" s="11"/>
      <c r="E55" s="11"/>
      <c r="F55" s="11"/>
      <c r="G55" s="11"/>
      <c r="H55" s="11"/>
      <c r="I55" s="12"/>
      <c r="J55" s="13"/>
      <c r="K55" s="40" t="str">
        <f t="shared" si="1"/>
        <v/>
      </c>
      <c r="M55" s="5">
        <v>49</v>
      </c>
      <c r="N55" s="41"/>
      <c r="O55" s="93" t="str">
        <f t="shared" si="2"/>
        <v/>
      </c>
      <c r="P55" s="11"/>
      <c r="Q55" s="11"/>
      <c r="R55" s="11"/>
      <c r="S55" s="11"/>
      <c r="T55" s="11"/>
      <c r="U55" s="12"/>
    </row>
    <row r="56" spans="1:21" ht="14">
      <c r="A56" s="5">
        <v>50</v>
      </c>
      <c r="B56" s="41"/>
      <c r="C56" s="93" t="str">
        <f t="shared" si="0"/>
        <v/>
      </c>
      <c r="D56" s="11"/>
      <c r="E56" s="11"/>
      <c r="F56" s="11"/>
      <c r="G56" s="11"/>
      <c r="H56" s="11"/>
      <c r="I56" s="12"/>
      <c r="J56" s="13"/>
      <c r="K56" s="40" t="str">
        <f t="shared" si="1"/>
        <v/>
      </c>
      <c r="M56" s="5">
        <v>50</v>
      </c>
      <c r="N56" s="41"/>
      <c r="O56" s="93" t="str">
        <f t="shared" si="2"/>
        <v/>
      </c>
      <c r="P56" s="11"/>
      <c r="Q56" s="11"/>
      <c r="R56" s="11"/>
      <c r="S56" s="11"/>
      <c r="T56" s="11"/>
      <c r="U56" s="12"/>
    </row>
    <row r="57" spans="1:21" ht="14">
      <c r="A57" s="5">
        <v>51</v>
      </c>
      <c r="B57" s="41"/>
      <c r="C57" s="93" t="str">
        <f t="shared" si="0"/>
        <v/>
      </c>
      <c r="D57" s="11"/>
      <c r="E57" s="11"/>
      <c r="F57" s="11"/>
      <c r="G57" s="11"/>
      <c r="H57" s="11"/>
      <c r="I57" s="12"/>
      <c r="J57" s="13"/>
      <c r="K57" s="40" t="str">
        <f t="shared" si="1"/>
        <v/>
      </c>
      <c r="M57" s="5">
        <v>51</v>
      </c>
      <c r="N57" s="41"/>
      <c r="O57" s="93" t="str">
        <f t="shared" si="2"/>
        <v/>
      </c>
      <c r="P57" s="11"/>
      <c r="Q57" s="11"/>
      <c r="R57" s="11"/>
      <c r="S57" s="11"/>
      <c r="T57" s="11"/>
      <c r="U57" s="12"/>
    </row>
    <row r="58" spans="1:21" ht="14">
      <c r="A58" s="5">
        <v>52</v>
      </c>
      <c r="B58" s="41"/>
      <c r="C58" s="93" t="str">
        <f t="shared" si="0"/>
        <v/>
      </c>
      <c r="D58" s="11"/>
      <c r="E58" s="11"/>
      <c r="F58" s="11"/>
      <c r="G58" s="11"/>
      <c r="H58" s="11"/>
      <c r="I58" s="12"/>
      <c r="J58" s="13"/>
      <c r="K58" s="40" t="str">
        <f t="shared" si="1"/>
        <v/>
      </c>
      <c r="M58" s="5">
        <v>52</v>
      </c>
      <c r="N58" s="41"/>
      <c r="O58" s="93" t="str">
        <f t="shared" si="2"/>
        <v/>
      </c>
      <c r="P58" s="11"/>
      <c r="Q58" s="11"/>
      <c r="R58" s="11"/>
      <c r="S58" s="11"/>
      <c r="T58" s="11"/>
      <c r="U58" s="12"/>
    </row>
    <row r="59" spans="1:21" ht="14">
      <c r="A59" s="5">
        <v>53</v>
      </c>
      <c r="B59" s="41"/>
      <c r="C59" s="93" t="str">
        <f t="shared" si="0"/>
        <v/>
      </c>
      <c r="D59" s="11"/>
      <c r="E59" s="11"/>
      <c r="F59" s="11"/>
      <c r="G59" s="11"/>
      <c r="H59" s="11"/>
      <c r="I59" s="12"/>
      <c r="J59" s="13"/>
      <c r="K59" s="40" t="str">
        <f t="shared" si="1"/>
        <v/>
      </c>
      <c r="M59" s="5">
        <v>53</v>
      </c>
      <c r="N59" s="41"/>
      <c r="O59" s="93" t="str">
        <f t="shared" si="2"/>
        <v/>
      </c>
      <c r="P59" s="11"/>
      <c r="Q59" s="11"/>
      <c r="R59" s="11"/>
      <c r="S59" s="11"/>
      <c r="T59" s="11"/>
      <c r="U59" s="12"/>
    </row>
    <row r="60" spans="1:21" ht="14">
      <c r="A60" s="5">
        <v>54</v>
      </c>
      <c r="B60" s="41"/>
      <c r="C60" s="93" t="str">
        <f t="shared" si="0"/>
        <v/>
      </c>
      <c r="D60" s="11"/>
      <c r="E60" s="11"/>
      <c r="F60" s="11"/>
      <c r="G60" s="11"/>
      <c r="H60" s="11"/>
      <c r="I60" s="12"/>
      <c r="J60" s="13"/>
      <c r="K60" s="40" t="str">
        <f t="shared" si="1"/>
        <v/>
      </c>
      <c r="M60" s="5">
        <v>54</v>
      </c>
      <c r="N60" s="41"/>
      <c r="O60" s="93" t="str">
        <f t="shared" si="2"/>
        <v/>
      </c>
      <c r="P60" s="11"/>
      <c r="Q60" s="11"/>
      <c r="R60" s="11"/>
      <c r="S60" s="11"/>
      <c r="T60" s="11"/>
      <c r="U60" s="12"/>
    </row>
    <row r="61" spans="1:21" ht="14">
      <c r="A61" s="5">
        <v>55</v>
      </c>
      <c r="B61" s="41"/>
      <c r="C61" s="93" t="str">
        <f t="shared" si="0"/>
        <v/>
      </c>
      <c r="D61" s="11"/>
      <c r="E61" s="11"/>
      <c r="F61" s="11"/>
      <c r="G61" s="11"/>
      <c r="H61" s="11"/>
      <c r="I61" s="12"/>
      <c r="J61" s="13"/>
      <c r="K61" s="40" t="str">
        <f t="shared" si="1"/>
        <v/>
      </c>
      <c r="M61" s="5">
        <v>55</v>
      </c>
      <c r="N61" s="41"/>
      <c r="O61" s="93" t="str">
        <f t="shared" si="2"/>
        <v/>
      </c>
      <c r="P61" s="11"/>
      <c r="Q61" s="11"/>
      <c r="R61" s="11"/>
      <c r="S61" s="11"/>
      <c r="T61" s="11"/>
      <c r="U61" s="12"/>
    </row>
    <row r="62" spans="1:21" ht="14">
      <c r="A62" s="5">
        <v>56</v>
      </c>
      <c r="B62" s="41"/>
      <c r="C62" s="93" t="str">
        <f t="shared" si="0"/>
        <v/>
      </c>
      <c r="D62" s="11"/>
      <c r="E62" s="11"/>
      <c r="F62" s="11"/>
      <c r="G62" s="11"/>
      <c r="H62" s="11"/>
      <c r="I62" s="12"/>
      <c r="J62" s="13"/>
      <c r="K62" s="40" t="str">
        <f t="shared" si="1"/>
        <v/>
      </c>
      <c r="M62" s="5">
        <v>56</v>
      </c>
      <c r="N62" s="41"/>
      <c r="O62" s="93" t="str">
        <f t="shared" si="2"/>
        <v/>
      </c>
      <c r="P62" s="11"/>
      <c r="Q62" s="11"/>
      <c r="R62" s="11"/>
      <c r="S62" s="11"/>
      <c r="T62" s="11"/>
      <c r="U62" s="12"/>
    </row>
    <row r="63" spans="1:21" ht="14">
      <c r="A63" s="5">
        <v>57</v>
      </c>
      <c r="B63" s="41"/>
      <c r="C63" s="93" t="str">
        <f t="shared" si="0"/>
        <v/>
      </c>
      <c r="D63" s="11"/>
      <c r="E63" s="11"/>
      <c r="F63" s="11"/>
      <c r="G63" s="11"/>
      <c r="H63" s="11"/>
      <c r="I63" s="12"/>
      <c r="J63" s="13"/>
      <c r="K63" s="40" t="str">
        <f t="shared" si="1"/>
        <v/>
      </c>
      <c r="M63" s="5">
        <v>57</v>
      </c>
      <c r="N63" s="41"/>
      <c r="O63" s="93" t="str">
        <f t="shared" si="2"/>
        <v/>
      </c>
      <c r="P63" s="11"/>
      <c r="Q63" s="11"/>
      <c r="R63" s="11"/>
      <c r="S63" s="11"/>
      <c r="T63" s="11"/>
      <c r="U63" s="12"/>
    </row>
    <row r="64" spans="1:21" ht="14">
      <c r="A64" s="5">
        <v>58</v>
      </c>
      <c r="B64" s="41"/>
      <c r="C64" s="93" t="str">
        <f t="shared" si="0"/>
        <v/>
      </c>
      <c r="D64" s="11"/>
      <c r="E64" s="11"/>
      <c r="F64" s="11"/>
      <c r="G64" s="11"/>
      <c r="H64" s="11"/>
      <c r="I64" s="12"/>
      <c r="J64" s="13"/>
      <c r="K64" s="40" t="str">
        <f t="shared" si="1"/>
        <v/>
      </c>
      <c r="M64" s="5">
        <v>58</v>
      </c>
      <c r="N64" s="41"/>
      <c r="O64" s="93" t="str">
        <f t="shared" si="2"/>
        <v/>
      </c>
      <c r="P64" s="11"/>
      <c r="Q64" s="11"/>
      <c r="R64" s="11"/>
      <c r="S64" s="11"/>
      <c r="T64" s="11"/>
      <c r="U64" s="12"/>
    </row>
    <row r="65" spans="1:21" ht="14">
      <c r="A65" s="5">
        <v>59</v>
      </c>
      <c r="B65" s="41"/>
      <c r="C65" s="93" t="str">
        <f t="shared" si="0"/>
        <v/>
      </c>
      <c r="D65" s="11"/>
      <c r="E65" s="11"/>
      <c r="F65" s="11"/>
      <c r="G65" s="11"/>
      <c r="H65" s="11"/>
      <c r="I65" s="12"/>
      <c r="J65" s="13"/>
      <c r="K65" s="40" t="str">
        <f t="shared" si="1"/>
        <v/>
      </c>
      <c r="M65" s="5">
        <v>59</v>
      </c>
      <c r="N65" s="41"/>
      <c r="O65" s="93" t="str">
        <f t="shared" si="2"/>
        <v/>
      </c>
      <c r="P65" s="11"/>
      <c r="Q65" s="11"/>
      <c r="R65" s="11"/>
      <c r="S65" s="11"/>
      <c r="T65" s="11"/>
      <c r="U65" s="12"/>
    </row>
    <row r="66" spans="1:21" ht="14">
      <c r="A66" s="5">
        <v>60</v>
      </c>
      <c r="B66" s="41"/>
      <c r="C66" s="93" t="str">
        <f t="shared" si="0"/>
        <v/>
      </c>
      <c r="D66" s="11"/>
      <c r="E66" s="11"/>
      <c r="F66" s="11"/>
      <c r="G66" s="11"/>
      <c r="H66" s="11"/>
      <c r="I66" s="12"/>
      <c r="J66" s="13"/>
      <c r="K66" s="40" t="str">
        <f t="shared" si="1"/>
        <v/>
      </c>
      <c r="M66" s="5">
        <v>60</v>
      </c>
      <c r="N66" s="41"/>
      <c r="O66" s="93" t="str">
        <f t="shared" si="2"/>
        <v/>
      </c>
      <c r="P66" s="11"/>
      <c r="Q66" s="11"/>
      <c r="R66" s="11"/>
      <c r="S66" s="11"/>
      <c r="T66" s="11"/>
      <c r="U66" s="12"/>
    </row>
    <row r="67" spans="1:21" ht="14">
      <c r="A67" s="5">
        <v>61</v>
      </c>
      <c r="B67" s="41"/>
      <c r="C67" s="93" t="str">
        <f t="shared" si="0"/>
        <v/>
      </c>
      <c r="D67" s="11"/>
      <c r="E67" s="11"/>
      <c r="F67" s="11"/>
      <c r="G67" s="11"/>
      <c r="H67" s="11"/>
      <c r="I67" s="12"/>
      <c r="J67" s="13"/>
      <c r="K67" s="40" t="str">
        <f t="shared" si="1"/>
        <v/>
      </c>
      <c r="M67" s="5">
        <v>61</v>
      </c>
      <c r="N67" s="41"/>
      <c r="O67" s="93" t="str">
        <f t="shared" si="2"/>
        <v/>
      </c>
      <c r="P67" s="11"/>
      <c r="Q67" s="11"/>
      <c r="R67" s="11"/>
      <c r="S67" s="11"/>
      <c r="T67" s="11"/>
      <c r="U67" s="12"/>
    </row>
    <row r="68" spans="1:21" ht="14">
      <c r="A68" s="5">
        <v>62</v>
      </c>
      <c r="B68" s="41"/>
      <c r="C68" s="93" t="str">
        <f t="shared" si="0"/>
        <v/>
      </c>
      <c r="D68" s="11"/>
      <c r="E68" s="11"/>
      <c r="F68" s="11"/>
      <c r="G68" s="11"/>
      <c r="H68" s="11"/>
      <c r="I68" s="12"/>
      <c r="J68" s="13"/>
      <c r="K68" s="40" t="str">
        <f t="shared" si="1"/>
        <v/>
      </c>
      <c r="M68" s="5">
        <v>62</v>
      </c>
      <c r="N68" s="41"/>
      <c r="O68" s="93" t="str">
        <f t="shared" si="2"/>
        <v/>
      </c>
      <c r="P68" s="11"/>
      <c r="Q68" s="11"/>
      <c r="R68" s="11"/>
      <c r="S68" s="11"/>
      <c r="T68" s="11"/>
      <c r="U68" s="12"/>
    </row>
    <row r="69" spans="1:21" ht="14">
      <c r="A69" s="5">
        <v>63</v>
      </c>
      <c r="B69" s="41"/>
      <c r="C69" s="93" t="str">
        <f t="shared" si="0"/>
        <v/>
      </c>
      <c r="D69" s="11"/>
      <c r="E69" s="11"/>
      <c r="F69" s="11"/>
      <c r="G69" s="11"/>
      <c r="H69" s="11"/>
      <c r="I69" s="12"/>
      <c r="J69" s="13"/>
      <c r="K69" s="40" t="str">
        <f t="shared" si="1"/>
        <v/>
      </c>
      <c r="M69" s="5">
        <v>63</v>
      </c>
      <c r="N69" s="41"/>
      <c r="O69" s="93" t="str">
        <f t="shared" si="2"/>
        <v/>
      </c>
      <c r="P69" s="11"/>
      <c r="Q69" s="11"/>
      <c r="R69" s="11"/>
      <c r="S69" s="11"/>
      <c r="T69" s="11"/>
      <c r="U69" s="12"/>
    </row>
    <row r="70" spans="1:21" ht="14">
      <c r="A70" s="5">
        <v>64</v>
      </c>
      <c r="B70" s="41"/>
      <c r="C70" s="93" t="str">
        <f t="shared" si="0"/>
        <v/>
      </c>
      <c r="D70" s="11"/>
      <c r="E70" s="11"/>
      <c r="F70" s="11"/>
      <c r="G70" s="11"/>
      <c r="H70" s="11"/>
      <c r="I70" s="12"/>
      <c r="J70" s="13"/>
      <c r="K70" s="40" t="str">
        <f t="shared" si="1"/>
        <v/>
      </c>
      <c r="M70" s="5">
        <v>64</v>
      </c>
      <c r="N70" s="41"/>
      <c r="O70" s="93" t="str">
        <f t="shared" si="2"/>
        <v/>
      </c>
      <c r="P70" s="11"/>
      <c r="Q70" s="11"/>
      <c r="R70" s="11"/>
      <c r="S70" s="11"/>
      <c r="T70" s="11"/>
      <c r="U70" s="12"/>
    </row>
    <row r="71" spans="1:21" ht="14">
      <c r="A71" s="5">
        <v>65</v>
      </c>
      <c r="B71" s="41"/>
      <c r="C71" s="93" t="str">
        <f t="shared" ref="C71:C106" si="3">IF(B71="","",TEXT(B71,"aaa"))</f>
        <v/>
      </c>
      <c r="D71" s="11"/>
      <c r="E71" s="11"/>
      <c r="F71" s="11"/>
      <c r="G71" s="11"/>
      <c r="H71" s="11"/>
      <c r="I71" s="12"/>
      <c r="J71" s="13"/>
      <c r="K71" s="40" t="str">
        <f t="shared" ref="K71:K106" si="4">IF(B71&lt;DATE(2025,12,1),IF(OR(H71="휘발유",H71="경유"),ROUNDDOWN(J71/6*I71,0),IF(H71="LPG",ROUNDDOWN(J71/5*I71,0),"")),IF(OR(H71="휘발유",H71="경유"),ROUNDDOWN(J71/5.8*I71,0),IF(H71="LPG",ROUNDDOWN(J71/4.8*I71,0),"")))</f>
        <v/>
      </c>
      <c r="M71" s="5">
        <v>65</v>
      </c>
      <c r="N71" s="41"/>
      <c r="O71" s="93" t="str">
        <f t="shared" ref="O71:O134" si="5">IF(N71="","",TEXT(N71,"aaa"))</f>
        <v/>
      </c>
      <c r="P71" s="11"/>
      <c r="Q71" s="11"/>
      <c r="R71" s="11"/>
      <c r="S71" s="11"/>
      <c r="T71" s="11"/>
      <c r="U71" s="12"/>
    </row>
    <row r="72" spans="1:21" ht="14">
      <c r="A72" s="5">
        <v>66</v>
      </c>
      <c r="B72" s="41"/>
      <c r="C72" s="93" t="str">
        <f t="shared" si="3"/>
        <v/>
      </c>
      <c r="D72" s="11"/>
      <c r="E72" s="11"/>
      <c r="F72" s="11"/>
      <c r="G72" s="11"/>
      <c r="H72" s="11"/>
      <c r="I72" s="12"/>
      <c r="J72" s="13"/>
      <c r="K72" s="40" t="str">
        <f t="shared" si="4"/>
        <v/>
      </c>
      <c r="M72" s="5">
        <v>66</v>
      </c>
      <c r="N72" s="41"/>
      <c r="O72" s="93" t="str">
        <f t="shared" si="5"/>
        <v/>
      </c>
      <c r="P72" s="11"/>
      <c r="Q72" s="11"/>
      <c r="R72" s="11"/>
      <c r="S72" s="11"/>
      <c r="T72" s="11"/>
      <c r="U72" s="12"/>
    </row>
    <row r="73" spans="1:21" ht="14">
      <c r="A73" s="5">
        <v>67</v>
      </c>
      <c r="B73" s="41"/>
      <c r="C73" s="93" t="str">
        <f t="shared" si="3"/>
        <v/>
      </c>
      <c r="D73" s="11"/>
      <c r="E73" s="11"/>
      <c r="F73" s="11"/>
      <c r="G73" s="11"/>
      <c r="H73" s="11"/>
      <c r="I73" s="12"/>
      <c r="J73" s="13"/>
      <c r="K73" s="40" t="str">
        <f t="shared" si="4"/>
        <v/>
      </c>
      <c r="M73" s="5">
        <v>67</v>
      </c>
      <c r="N73" s="41"/>
      <c r="O73" s="93" t="str">
        <f t="shared" si="5"/>
        <v/>
      </c>
      <c r="P73" s="11"/>
      <c r="Q73" s="11"/>
      <c r="R73" s="11"/>
      <c r="S73" s="11"/>
      <c r="T73" s="11"/>
      <c r="U73" s="12"/>
    </row>
    <row r="74" spans="1:21" ht="14">
      <c r="A74" s="5">
        <v>68</v>
      </c>
      <c r="B74" s="41"/>
      <c r="C74" s="93" t="str">
        <f t="shared" si="3"/>
        <v/>
      </c>
      <c r="D74" s="11"/>
      <c r="E74" s="11"/>
      <c r="F74" s="11"/>
      <c r="G74" s="11"/>
      <c r="H74" s="11"/>
      <c r="I74" s="12"/>
      <c r="J74" s="13"/>
      <c r="K74" s="40" t="str">
        <f t="shared" si="4"/>
        <v/>
      </c>
      <c r="M74" s="5">
        <v>68</v>
      </c>
      <c r="N74" s="41"/>
      <c r="O74" s="93" t="str">
        <f t="shared" si="5"/>
        <v/>
      </c>
      <c r="P74" s="11"/>
      <c r="Q74" s="11"/>
      <c r="R74" s="11"/>
      <c r="S74" s="11"/>
      <c r="T74" s="11"/>
      <c r="U74" s="12"/>
    </row>
    <row r="75" spans="1:21" ht="14">
      <c r="A75" s="5">
        <v>69</v>
      </c>
      <c r="B75" s="41"/>
      <c r="C75" s="93" t="str">
        <f t="shared" si="3"/>
        <v/>
      </c>
      <c r="D75" s="11"/>
      <c r="E75" s="11"/>
      <c r="F75" s="11"/>
      <c r="G75" s="11"/>
      <c r="H75" s="11"/>
      <c r="I75" s="12"/>
      <c r="J75" s="13"/>
      <c r="K75" s="40" t="str">
        <f t="shared" si="4"/>
        <v/>
      </c>
      <c r="M75" s="5">
        <v>69</v>
      </c>
      <c r="N75" s="41"/>
      <c r="O75" s="93" t="str">
        <f t="shared" si="5"/>
        <v/>
      </c>
      <c r="P75" s="11"/>
      <c r="Q75" s="11"/>
      <c r="R75" s="11"/>
      <c r="S75" s="11"/>
      <c r="T75" s="11"/>
      <c r="U75" s="12"/>
    </row>
    <row r="76" spans="1:21" ht="14">
      <c r="A76" s="5">
        <v>70</v>
      </c>
      <c r="B76" s="41"/>
      <c r="C76" s="93" t="str">
        <f t="shared" si="3"/>
        <v/>
      </c>
      <c r="D76" s="11"/>
      <c r="E76" s="11"/>
      <c r="F76" s="11"/>
      <c r="G76" s="11"/>
      <c r="H76" s="11"/>
      <c r="I76" s="12"/>
      <c r="J76" s="13"/>
      <c r="K76" s="40" t="str">
        <f t="shared" si="4"/>
        <v/>
      </c>
      <c r="M76" s="5">
        <v>70</v>
      </c>
      <c r="N76" s="41"/>
      <c r="O76" s="93" t="str">
        <f t="shared" si="5"/>
        <v/>
      </c>
      <c r="P76" s="11"/>
      <c r="Q76" s="11"/>
      <c r="R76" s="11"/>
      <c r="S76" s="11"/>
      <c r="T76" s="11"/>
      <c r="U76" s="12"/>
    </row>
    <row r="77" spans="1:21" ht="14">
      <c r="A77" s="5">
        <v>71</v>
      </c>
      <c r="B77" s="41"/>
      <c r="C77" s="93" t="str">
        <f t="shared" si="3"/>
        <v/>
      </c>
      <c r="D77" s="11"/>
      <c r="E77" s="11"/>
      <c r="F77" s="11"/>
      <c r="G77" s="11"/>
      <c r="H77" s="11"/>
      <c r="I77" s="12"/>
      <c r="J77" s="13"/>
      <c r="K77" s="40" t="str">
        <f t="shared" si="4"/>
        <v/>
      </c>
      <c r="M77" s="5">
        <v>71</v>
      </c>
      <c r="N77" s="41"/>
      <c r="O77" s="93" t="str">
        <f t="shared" si="5"/>
        <v/>
      </c>
      <c r="P77" s="11"/>
      <c r="Q77" s="11"/>
      <c r="R77" s="11"/>
      <c r="S77" s="11"/>
      <c r="T77" s="11"/>
      <c r="U77" s="12"/>
    </row>
    <row r="78" spans="1:21" ht="14">
      <c r="A78" s="5">
        <v>72</v>
      </c>
      <c r="B78" s="41"/>
      <c r="C78" s="93" t="str">
        <f t="shared" si="3"/>
        <v/>
      </c>
      <c r="D78" s="11"/>
      <c r="E78" s="11"/>
      <c r="F78" s="11"/>
      <c r="G78" s="11"/>
      <c r="H78" s="11"/>
      <c r="I78" s="12"/>
      <c r="J78" s="13"/>
      <c r="K78" s="40" t="str">
        <f t="shared" si="4"/>
        <v/>
      </c>
      <c r="M78" s="5">
        <v>72</v>
      </c>
      <c r="N78" s="41"/>
      <c r="O78" s="93" t="str">
        <f t="shared" si="5"/>
        <v/>
      </c>
      <c r="P78" s="11"/>
      <c r="Q78" s="11"/>
      <c r="R78" s="11"/>
      <c r="S78" s="11"/>
      <c r="T78" s="11"/>
      <c r="U78" s="12"/>
    </row>
    <row r="79" spans="1:21" ht="14">
      <c r="A79" s="5">
        <v>73</v>
      </c>
      <c r="B79" s="41"/>
      <c r="C79" s="93" t="str">
        <f t="shared" si="3"/>
        <v/>
      </c>
      <c r="D79" s="11"/>
      <c r="E79" s="11"/>
      <c r="F79" s="11"/>
      <c r="G79" s="11"/>
      <c r="H79" s="11"/>
      <c r="I79" s="12"/>
      <c r="J79" s="13"/>
      <c r="K79" s="40" t="str">
        <f t="shared" si="4"/>
        <v/>
      </c>
      <c r="M79" s="5">
        <v>73</v>
      </c>
      <c r="N79" s="41"/>
      <c r="O79" s="93" t="str">
        <f t="shared" si="5"/>
        <v/>
      </c>
      <c r="P79" s="11"/>
      <c r="Q79" s="11"/>
      <c r="R79" s="11"/>
      <c r="S79" s="11"/>
      <c r="T79" s="11"/>
      <c r="U79" s="12"/>
    </row>
    <row r="80" spans="1:21" ht="14">
      <c r="A80" s="5">
        <v>74</v>
      </c>
      <c r="B80" s="41"/>
      <c r="C80" s="93" t="str">
        <f t="shared" si="3"/>
        <v/>
      </c>
      <c r="D80" s="11"/>
      <c r="E80" s="11"/>
      <c r="F80" s="11"/>
      <c r="G80" s="11"/>
      <c r="H80" s="11"/>
      <c r="I80" s="12"/>
      <c r="J80" s="13"/>
      <c r="K80" s="40" t="str">
        <f t="shared" si="4"/>
        <v/>
      </c>
      <c r="M80" s="5">
        <v>74</v>
      </c>
      <c r="N80" s="41"/>
      <c r="O80" s="93" t="str">
        <f t="shared" si="5"/>
        <v/>
      </c>
      <c r="P80" s="11"/>
      <c r="Q80" s="11"/>
      <c r="R80" s="11"/>
      <c r="S80" s="11"/>
      <c r="T80" s="11"/>
      <c r="U80" s="12"/>
    </row>
    <row r="81" spans="1:21" ht="14">
      <c r="A81" s="5">
        <v>75</v>
      </c>
      <c r="B81" s="41"/>
      <c r="C81" s="93" t="str">
        <f t="shared" si="3"/>
        <v/>
      </c>
      <c r="D81" s="11"/>
      <c r="E81" s="11"/>
      <c r="F81" s="11"/>
      <c r="G81" s="11"/>
      <c r="H81" s="11"/>
      <c r="I81" s="12"/>
      <c r="J81" s="13"/>
      <c r="K81" s="40" t="str">
        <f t="shared" si="4"/>
        <v/>
      </c>
      <c r="M81" s="5">
        <v>75</v>
      </c>
      <c r="N81" s="41"/>
      <c r="O81" s="93" t="str">
        <f t="shared" si="5"/>
        <v/>
      </c>
      <c r="P81" s="11"/>
      <c r="Q81" s="11"/>
      <c r="R81" s="11"/>
      <c r="S81" s="11"/>
      <c r="T81" s="11"/>
      <c r="U81" s="12"/>
    </row>
    <row r="82" spans="1:21" ht="14">
      <c r="A82" s="5">
        <v>76</v>
      </c>
      <c r="B82" s="41"/>
      <c r="C82" s="93" t="str">
        <f t="shared" si="3"/>
        <v/>
      </c>
      <c r="D82" s="11"/>
      <c r="E82" s="11"/>
      <c r="F82" s="11"/>
      <c r="G82" s="11"/>
      <c r="H82" s="11"/>
      <c r="I82" s="12"/>
      <c r="J82" s="13"/>
      <c r="K82" s="40" t="str">
        <f t="shared" si="4"/>
        <v/>
      </c>
      <c r="M82" s="5">
        <v>76</v>
      </c>
      <c r="N82" s="41"/>
      <c r="O82" s="93" t="str">
        <f t="shared" si="5"/>
        <v/>
      </c>
      <c r="P82" s="11"/>
      <c r="Q82" s="11"/>
      <c r="R82" s="11"/>
      <c r="S82" s="11"/>
      <c r="T82" s="11"/>
      <c r="U82" s="12"/>
    </row>
    <row r="83" spans="1:21" ht="14">
      <c r="A83" s="5">
        <v>77</v>
      </c>
      <c r="B83" s="41"/>
      <c r="C83" s="93" t="str">
        <f t="shared" si="3"/>
        <v/>
      </c>
      <c r="D83" s="11"/>
      <c r="E83" s="11"/>
      <c r="F83" s="11"/>
      <c r="G83" s="11"/>
      <c r="H83" s="11"/>
      <c r="I83" s="12"/>
      <c r="J83" s="13"/>
      <c r="K83" s="40" t="str">
        <f t="shared" si="4"/>
        <v/>
      </c>
      <c r="M83" s="5">
        <v>77</v>
      </c>
      <c r="N83" s="41"/>
      <c r="O83" s="93" t="str">
        <f t="shared" si="5"/>
        <v/>
      </c>
      <c r="P83" s="11"/>
      <c r="Q83" s="11"/>
      <c r="R83" s="11"/>
      <c r="S83" s="11"/>
      <c r="T83" s="11"/>
      <c r="U83" s="12"/>
    </row>
    <row r="84" spans="1:21" ht="14">
      <c r="A84" s="5">
        <v>78</v>
      </c>
      <c r="B84" s="41"/>
      <c r="C84" s="93" t="str">
        <f t="shared" si="3"/>
        <v/>
      </c>
      <c r="D84" s="11"/>
      <c r="E84" s="11"/>
      <c r="F84" s="11"/>
      <c r="G84" s="11"/>
      <c r="H84" s="11"/>
      <c r="I84" s="12"/>
      <c r="J84" s="13"/>
      <c r="K84" s="40" t="str">
        <f t="shared" si="4"/>
        <v/>
      </c>
      <c r="M84" s="5">
        <v>78</v>
      </c>
      <c r="N84" s="41"/>
      <c r="O84" s="93" t="str">
        <f t="shared" si="5"/>
        <v/>
      </c>
      <c r="P84" s="11"/>
      <c r="Q84" s="11"/>
      <c r="R84" s="11"/>
      <c r="S84" s="11"/>
      <c r="T84" s="11"/>
      <c r="U84" s="12"/>
    </row>
    <row r="85" spans="1:21" ht="14">
      <c r="A85" s="5">
        <v>79</v>
      </c>
      <c r="B85" s="41"/>
      <c r="C85" s="93" t="str">
        <f t="shared" si="3"/>
        <v/>
      </c>
      <c r="D85" s="11"/>
      <c r="E85" s="11"/>
      <c r="F85" s="11"/>
      <c r="G85" s="11"/>
      <c r="H85" s="11"/>
      <c r="I85" s="12"/>
      <c r="J85" s="13"/>
      <c r="K85" s="40" t="str">
        <f t="shared" si="4"/>
        <v/>
      </c>
      <c r="M85" s="5">
        <v>79</v>
      </c>
      <c r="N85" s="41"/>
      <c r="O85" s="93" t="str">
        <f t="shared" si="5"/>
        <v/>
      </c>
      <c r="P85" s="11"/>
      <c r="Q85" s="11"/>
      <c r="R85" s="11"/>
      <c r="S85" s="11"/>
      <c r="T85" s="11"/>
      <c r="U85" s="12"/>
    </row>
    <row r="86" spans="1:21" ht="14">
      <c r="A86" s="5">
        <v>80</v>
      </c>
      <c r="B86" s="41"/>
      <c r="C86" s="93" t="str">
        <f t="shared" si="3"/>
        <v/>
      </c>
      <c r="D86" s="11"/>
      <c r="E86" s="11"/>
      <c r="F86" s="11"/>
      <c r="G86" s="11"/>
      <c r="H86" s="11"/>
      <c r="I86" s="12"/>
      <c r="J86" s="13"/>
      <c r="K86" s="40" t="str">
        <f t="shared" si="4"/>
        <v/>
      </c>
      <c r="M86" s="5">
        <v>80</v>
      </c>
      <c r="N86" s="41"/>
      <c r="O86" s="93" t="str">
        <f t="shared" si="5"/>
        <v/>
      </c>
      <c r="P86" s="11"/>
      <c r="Q86" s="11"/>
      <c r="R86" s="11"/>
      <c r="S86" s="11"/>
      <c r="T86" s="11"/>
      <c r="U86" s="12"/>
    </row>
    <row r="87" spans="1:21" ht="14">
      <c r="A87" s="5">
        <v>81</v>
      </c>
      <c r="B87" s="41"/>
      <c r="C87" s="93" t="str">
        <f t="shared" si="3"/>
        <v/>
      </c>
      <c r="D87" s="11"/>
      <c r="E87" s="11"/>
      <c r="F87" s="11"/>
      <c r="G87" s="11"/>
      <c r="H87" s="11"/>
      <c r="I87" s="12"/>
      <c r="J87" s="13"/>
      <c r="K87" s="40" t="str">
        <f t="shared" si="4"/>
        <v/>
      </c>
      <c r="M87" s="5">
        <v>81</v>
      </c>
      <c r="N87" s="41"/>
      <c r="O87" s="93" t="str">
        <f t="shared" si="5"/>
        <v/>
      </c>
      <c r="P87" s="11"/>
      <c r="Q87" s="11"/>
      <c r="R87" s="11"/>
      <c r="S87" s="11"/>
      <c r="T87" s="11"/>
      <c r="U87" s="12"/>
    </row>
    <row r="88" spans="1:21" ht="14">
      <c r="A88" s="5">
        <v>82</v>
      </c>
      <c r="B88" s="41"/>
      <c r="C88" s="93" t="str">
        <f t="shared" si="3"/>
        <v/>
      </c>
      <c r="D88" s="11"/>
      <c r="E88" s="11"/>
      <c r="F88" s="11"/>
      <c r="G88" s="11"/>
      <c r="H88" s="11"/>
      <c r="I88" s="12"/>
      <c r="J88" s="13"/>
      <c r="K88" s="40" t="str">
        <f t="shared" si="4"/>
        <v/>
      </c>
      <c r="M88" s="5">
        <v>82</v>
      </c>
      <c r="N88" s="41"/>
      <c r="O88" s="93" t="str">
        <f t="shared" si="5"/>
        <v/>
      </c>
      <c r="P88" s="11"/>
      <c r="Q88" s="11"/>
      <c r="R88" s="11"/>
      <c r="S88" s="11"/>
      <c r="T88" s="11"/>
      <c r="U88" s="12"/>
    </row>
    <row r="89" spans="1:21" ht="14">
      <c r="A89" s="5">
        <v>83</v>
      </c>
      <c r="B89" s="41"/>
      <c r="C89" s="93" t="str">
        <f t="shared" si="3"/>
        <v/>
      </c>
      <c r="D89" s="11"/>
      <c r="E89" s="11"/>
      <c r="F89" s="11"/>
      <c r="G89" s="11"/>
      <c r="H89" s="11"/>
      <c r="I89" s="12"/>
      <c r="J89" s="13"/>
      <c r="K89" s="40" t="str">
        <f t="shared" si="4"/>
        <v/>
      </c>
      <c r="M89" s="5">
        <v>83</v>
      </c>
      <c r="N89" s="41"/>
      <c r="O89" s="93" t="str">
        <f t="shared" si="5"/>
        <v/>
      </c>
      <c r="P89" s="11"/>
      <c r="Q89" s="11"/>
      <c r="R89" s="11"/>
      <c r="S89" s="11"/>
      <c r="T89" s="11"/>
      <c r="U89" s="12"/>
    </row>
    <row r="90" spans="1:21" ht="14">
      <c r="A90" s="5">
        <v>84</v>
      </c>
      <c r="B90" s="41"/>
      <c r="C90" s="93" t="str">
        <f t="shared" si="3"/>
        <v/>
      </c>
      <c r="D90" s="11"/>
      <c r="E90" s="11"/>
      <c r="F90" s="11"/>
      <c r="G90" s="11"/>
      <c r="H90" s="11"/>
      <c r="I90" s="12"/>
      <c r="J90" s="13"/>
      <c r="K90" s="40" t="str">
        <f t="shared" si="4"/>
        <v/>
      </c>
      <c r="M90" s="5">
        <v>84</v>
      </c>
      <c r="N90" s="41"/>
      <c r="O90" s="93" t="str">
        <f t="shared" si="5"/>
        <v/>
      </c>
      <c r="P90" s="11"/>
      <c r="Q90" s="11"/>
      <c r="R90" s="11"/>
      <c r="S90" s="11"/>
      <c r="T90" s="11"/>
      <c r="U90" s="12"/>
    </row>
    <row r="91" spans="1:21" ht="14">
      <c r="A91" s="5">
        <v>85</v>
      </c>
      <c r="B91" s="41"/>
      <c r="C91" s="93" t="str">
        <f t="shared" si="3"/>
        <v/>
      </c>
      <c r="D91" s="11"/>
      <c r="E91" s="11"/>
      <c r="F91" s="11"/>
      <c r="G91" s="11"/>
      <c r="H91" s="11"/>
      <c r="I91" s="12"/>
      <c r="J91" s="13"/>
      <c r="K91" s="40" t="str">
        <f t="shared" si="4"/>
        <v/>
      </c>
      <c r="M91" s="5">
        <v>85</v>
      </c>
      <c r="N91" s="41"/>
      <c r="O91" s="93" t="str">
        <f t="shared" si="5"/>
        <v/>
      </c>
      <c r="P91" s="11"/>
      <c r="Q91" s="11"/>
      <c r="R91" s="11"/>
      <c r="S91" s="11"/>
      <c r="T91" s="11"/>
      <c r="U91" s="12"/>
    </row>
    <row r="92" spans="1:21" ht="14">
      <c r="A92" s="5">
        <v>86</v>
      </c>
      <c r="B92" s="41"/>
      <c r="C92" s="93" t="str">
        <f t="shared" si="3"/>
        <v/>
      </c>
      <c r="D92" s="11"/>
      <c r="E92" s="11"/>
      <c r="F92" s="11"/>
      <c r="G92" s="11"/>
      <c r="H92" s="11"/>
      <c r="I92" s="12"/>
      <c r="J92" s="13"/>
      <c r="K92" s="40" t="str">
        <f t="shared" si="4"/>
        <v/>
      </c>
      <c r="M92" s="5">
        <v>86</v>
      </c>
      <c r="N92" s="41"/>
      <c r="O92" s="93" t="str">
        <f t="shared" si="5"/>
        <v/>
      </c>
      <c r="P92" s="11"/>
      <c r="Q92" s="11"/>
      <c r="R92" s="11"/>
      <c r="S92" s="11"/>
      <c r="T92" s="11"/>
      <c r="U92" s="12"/>
    </row>
    <row r="93" spans="1:21" ht="14">
      <c r="A93" s="5">
        <v>87</v>
      </c>
      <c r="B93" s="41"/>
      <c r="C93" s="93" t="str">
        <f t="shared" si="3"/>
        <v/>
      </c>
      <c r="D93" s="11"/>
      <c r="E93" s="11"/>
      <c r="F93" s="11"/>
      <c r="G93" s="11"/>
      <c r="H93" s="11"/>
      <c r="I93" s="12"/>
      <c r="J93" s="13"/>
      <c r="K93" s="40" t="str">
        <f t="shared" si="4"/>
        <v/>
      </c>
      <c r="M93" s="5">
        <v>87</v>
      </c>
      <c r="N93" s="41"/>
      <c r="O93" s="93" t="str">
        <f t="shared" si="5"/>
        <v/>
      </c>
      <c r="P93" s="11"/>
      <c r="Q93" s="11"/>
      <c r="R93" s="11"/>
      <c r="S93" s="11"/>
      <c r="T93" s="11"/>
      <c r="U93" s="12"/>
    </row>
    <row r="94" spans="1:21" ht="14">
      <c r="A94" s="5">
        <v>88</v>
      </c>
      <c r="B94" s="41"/>
      <c r="C94" s="93" t="str">
        <f t="shared" si="3"/>
        <v/>
      </c>
      <c r="D94" s="11"/>
      <c r="E94" s="11"/>
      <c r="F94" s="11"/>
      <c r="G94" s="11"/>
      <c r="H94" s="11"/>
      <c r="I94" s="12"/>
      <c r="J94" s="13"/>
      <c r="K94" s="40" t="str">
        <f t="shared" si="4"/>
        <v/>
      </c>
      <c r="M94" s="5">
        <v>88</v>
      </c>
      <c r="N94" s="41"/>
      <c r="O94" s="93" t="str">
        <f t="shared" si="5"/>
        <v/>
      </c>
      <c r="P94" s="11"/>
      <c r="Q94" s="11"/>
      <c r="R94" s="11"/>
      <c r="S94" s="11"/>
      <c r="T94" s="11"/>
      <c r="U94" s="12"/>
    </row>
    <row r="95" spans="1:21" ht="14">
      <c r="A95" s="5">
        <v>89</v>
      </c>
      <c r="B95" s="41"/>
      <c r="C95" s="93" t="str">
        <f t="shared" si="3"/>
        <v/>
      </c>
      <c r="D95" s="11"/>
      <c r="E95" s="11"/>
      <c r="F95" s="11"/>
      <c r="G95" s="11"/>
      <c r="H95" s="11"/>
      <c r="I95" s="12"/>
      <c r="J95" s="13"/>
      <c r="K95" s="40" t="str">
        <f t="shared" si="4"/>
        <v/>
      </c>
      <c r="M95" s="5">
        <v>89</v>
      </c>
      <c r="N95" s="41"/>
      <c r="O95" s="93" t="str">
        <f t="shared" si="5"/>
        <v/>
      </c>
      <c r="P95" s="11"/>
      <c r="Q95" s="11"/>
      <c r="R95" s="11"/>
      <c r="S95" s="11"/>
      <c r="T95" s="11"/>
      <c r="U95" s="12"/>
    </row>
    <row r="96" spans="1:21" ht="14">
      <c r="A96" s="5">
        <v>90</v>
      </c>
      <c r="B96" s="41"/>
      <c r="C96" s="93" t="str">
        <f t="shared" si="3"/>
        <v/>
      </c>
      <c r="D96" s="11"/>
      <c r="E96" s="11"/>
      <c r="F96" s="11"/>
      <c r="G96" s="11"/>
      <c r="H96" s="11"/>
      <c r="I96" s="12"/>
      <c r="J96" s="13"/>
      <c r="K96" s="40" t="str">
        <f t="shared" si="4"/>
        <v/>
      </c>
      <c r="M96" s="5">
        <v>90</v>
      </c>
      <c r="N96" s="41"/>
      <c r="O96" s="93" t="str">
        <f t="shared" si="5"/>
        <v/>
      </c>
      <c r="P96" s="11"/>
      <c r="Q96" s="11"/>
      <c r="R96" s="11"/>
      <c r="S96" s="11"/>
      <c r="T96" s="11"/>
      <c r="U96" s="12"/>
    </row>
    <row r="97" spans="1:21" ht="14">
      <c r="A97" s="5">
        <v>91</v>
      </c>
      <c r="B97" s="41"/>
      <c r="C97" s="93" t="str">
        <f t="shared" si="3"/>
        <v/>
      </c>
      <c r="D97" s="11"/>
      <c r="E97" s="11"/>
      <c r="F97" s="11"/>
      <c r="G97" s="11"/>
      <c r="H97" s="11"/>
      <c r="I97" s="12"/>
      <c r="J97" s="13"/>
      <c r="K97" s="40" t="str">
        <f t="shared" si="4"/>
        <v/>
      </c>
      <c r="M97" s="5">
        <v>91</v>
      </c>
      <c r="N97" s="41"/>
      <c r="O97" s="93" t="str">
        <f t="shared" si="5"/>
        <v/>
      </c>
      <c r="P97" s="11"/>
      <c r="Q97" s="11"/>
      <c r="R97" s="11"/>
      <c r="S97" s="11"/>
      <c r="T97" s="11"/>
      <c r="U97" s="12"/>
    </row>
    <row r="98" spans="1:21" ht="14">
      <c r="A98" s="5">
        <v>92</v>
      </c>
      <c r="B98" s="41"/>
      <c r="C98" s="93" t="str">
        <f t="shared" si="3"/>
        <v/>
      </c>
      <c r="D98" s="11"/>
      <c r="E98" s="11"/>
      <c r="F98" s="11"/>
      <c r="G98" s="11"/>
      <c r="H98" s="11"/>
      <c r="I98" s="12"/>
      <c r="J98" s="13"/>
      <c r="K98" s="40" t="str">
        <f t="shared" si="4"/>
        <v/>
      </c>
      <c r="M98" s="5">
        <v>92</v>
      </c>
      <c r="N98" s="41"/>
      <c r="O98" s="93" t="str">
        <f t="shared" si="5"/>
        <v/>
      </c>
      <c r="P98" s="11"/>
      <c r="Q98" s="11"/>
      <c r="R98" s="11"/>
      <c r="S98" s="11"/>
      <c r="T98" s="11"/>
      <c r="U98" s="12"/>
    </row>
    <row r="99" spans="1:21" ht="14">
      <c r="A99" s="5">
        <v>93</v>
      </c>
      <c r="B99" s="41"/>
      <c r="C99" s="93" t="str">
        <f t="shared" si="3"/>
        <v/>
      </c>
      <c r="D99" s="11"/>
      <c r="E99" s="11"/>
      <c r="F99" s="11"/>
      <c r="G99" s="11"/>
      <c r="H99" s="11"/>
      <c r="I99" s="12"/>
      <c r="J99" s="13"/>
      <c r="K99" s="40" t="str">
        <f t="shared" si="4"/>
        <v/>
      </c>
      <c r="M99" s="5">
        <v>93</v>
      </c>
      <c r="N99" s="41"/>
      <c r="O99" s="93" t="str">
        <f t="shared" si="5"/>
        <v/>
      </c>
      <c r="P99" s="11"/>
      <c r="Q99" s="11"/>
      <c r="R99" s="11"/>
      <c r="S99" s="11"/>
      <c r="T99" s="11"/>
      <c r="U99" s="12"/>
    </row>
    <row r="100" spans="1:21" ht="14">
      <c r="A100" s="5">
        <v>94</v>
      </c>
      <c r="B100" s="41"/>
      <c r="C100" s="93" t="str">
        <f t="shared" si="3"/>
        <v/>
      </c>
      <c r="D100" s="11"/>
      <c r="E100" s="11"/>
      <c r="F100" s="11"/>
      <c r="G100" s="11"/>
      <c r="H100" s="11"/>
      <c r="I100" s="12"/>
      <c r="J100" s="13"/>
      <c r="K100" s="40" t="str">
        <f t="shared" si="4"/>
        <v/>
      </c>
      <c r="M100" s="5">
        <v>94</v>
      </c>
      <c r="N100" s="41"/>
      <c r="O100" s="93" t="str">
        <f t="shared" si="5"/>
        <v/>
      </c>
      <c r="P100" s="11"/>
      <c r="Q100" s="11"/>
      <c r="R100" s="11"/>
      <c r="S100" s="11"/>
      <c r="T100" s="11"/>
      <c r="U100" s="12"/>
    </row>
    <row r="101" spans="1:21" ht="14">
      <c r="A101" s="5">
        <v>95</v>
      </c>
      <c r="B101" s="41"/>
      <c r="C101" s="93" t="str">
        <f t="shared" si="3"/>
        <v/>
      </c>
      <c r="D101" s="11"/>
      <c r="E101" s="11"/>
      <c r="F101" s="11"/>
      <c r="G101" s="11"/>
      <c r="H101" s="11"/>
      <c r="I101" s="12"/>
      <c r="J101" s="13"/>
      <c r="K101" s="40" t="str">
        <f t="shared" si="4"/>
        <v/>
      </c>
      <c r="M101" s="5">
        <v>95</v>
      </c>
      <c r="N101" s="41"/>
      <c r="O101" s="93" t="str">
        <f t="shared" si="5"/>
        <v/>
      </c>
      <c r="P101" s="11"/>
      <c r="Q101" s="11"/>
      <c r="R101" s="11"/>
      <c r="S101" s="11"/>
      <c r="T101" s="11"/>
      <c r="U101" s="12"/>
    </row>
    <row r="102" spans="1:21" ht="14">
      <c r="A102" s="5">
        <v>96</v>
      </c>
      <c r="B102" s="41"/>
      <c r="C102" s="93" t="str">
        <f t="shared" si="3"/>
        <v/>
      </c>
      <c r="D102" s="11"/>
      <c r="E102" s="11"/>
      <c r="F102" s="11"/>
      <c r="G102" s="11"/>
      <c r="H102" s="11"/>
      <c r="I102" s="12"/>
      <c r="J102" s="13"/>
      <c r="K102" s="40" t="str">
        <f t="shared" si="4"/>
        <v/>
      </c>
      <c r="M102" s="5">
        <v>96</v>
      </c>
      <c r="N102" s="41"/>
      <c r="O102" s="93" t="str">
        <f t="shared" si="5"/>
        <v/>
      </c>
      <c r="P102" s="11"/>
      <c r="Q102" s="11"/>
      <c r="R102" s="11"/>
      <c r="S102" s="11"/>
      <c r="T102" s="11"/>
      <c r="U102" s="12"/>
    </row>
    <row r="103" spans="1:21" ht="14">
      <c r="A103" s="5">
        <v>97</v>
      </c>
      <c r="B103" s="41"/>
      <c r="C103" s="93" t="str">
        <f t="shared" si="3"/>
        <v/>
      </c>
      <c r="D103" s="11"/>
      <c r="E103" s="11"/>
      <c r="F103" s="11"/>
      <c r="G103" s="11"/>
      <c r="H103" s="11"/>
      <c r="I103" s="12"/>
      <c r="J103" s="13"/>
      <c r="K103" s="40" t="str">
        <f t="shared" si="4"/>
        <v/>
      </c>
      <c r="M103" s="5">
        <v>97</v>
      </c>
      <c r="N103" s="41"/>
      <c r="O103" s="93" t="str">
        <f t="shared" si="5"/>
        <v/>
      </c>
      <c r="P103" s="11"/>
      <c r="Q103" s="11"/>
      <c r="R103" s="11"/>
      <c r="S103" s="11"/>
      <c r="T103" s="11"/>
      <c r="U103" s="12"/>
    </row>
    <row r="104" spans="1:21" ht="14">
      <c r="A104" s="5">
        <v>98</v>
      </c>
      <c r="B104" s="41"/>
      <c r="C104" s="93" t="str">
        <f t="shared" si="3"/>
        <v/>
      </c>
      <c r="D104" s="11"/>
      <c r="E104" s="11"/>
      <c r="F104" s="11"/>
      <c r="G104" s="11"/>
      <c r="H104" s="11"/>
      <c r="I104" s="12"/>
      <c r="J104" s="13"/>
      <c r="K104" s="40" t="str">
        <f t="shared" si="4"/>
        <v/>
      </c>
      <c r="M104" s="5">
        <v>98</v>
      </c>
      <c r="N104" s="41"/>
      <c r="O104" s="93" t="str">
        <f t="shared" si="5"/>
        <v/>
      </c>
      <c r="P104" s="11"/>
      <c r="Q104" s="11"/>
      <c r="R104" s="11"/>
      <c r="S104" s="11"/>
      <c r="T104" s="11"/>
      <c r="U104" s="12"/>
    </row>
    <row r="105" spans="1:21" ht="14">
      <c r="A105" s="5">
        <v>99</v>
      </c>
      <c r="B105" s="41"/>
      <c r="C105" s="93" t="str">
        <f t="shared" si="3"/>
        <v/>
      </c>
      <c r="D105" s="11"/>
      <c r="E105" s="11"/>
      <c r="F105" s="11"/>
      <c r="G105" s="11"/>
      <c r="H105" s="11"/>
      <c r="I105" s="12"/>
      <c r="J105" s="13"/>
      <c r="K105" s="40" t="str">
        <f t="shared" si="4"/>
        <v/>
      </c>
      <c r="M105" s="5">
        <v>99</v>
      </c>
      <c r="N105" s="41"/>
      <c r="O105" s="93" t="str">
        <f t="shared" si="5"/>
        <v/>
      </c>
      <c r="P105" s="11"/>
      <c r="Q105" s="11"/>
      <c r="R105" s="11"/>
      <c r="S105" s="11"/>
      <c r="T105" s="11"/>
      <c r="U105" s="12"/>
    </row>
    <row r="106" spans="1:21" ht="14">
      <c r="A106" s="5">
        <v>100</v>
      </c>
      <c r="B106" s="41"/>
      <c r="C106" s="93" t="str">
        <f t="shared" si="3"/>
        <v/>
      </c>
      <c r="D106" s="11"/>
      <c r="E106" s="11"/>
      <c r="F106" s="11"/>
      <c r="G106" s="11"/>
      <c r="H106" s="11"/>
      <c r="I106" s="12"/>
      <c r="J106" s="13"/>
      <c r="K106" s="40" t="str">
        <f t="shared" si="4"/>
        <v/>
      </c>
      <c r="M106" s="5">
        <v>100</v>
      </c>
      <c r="N106" s="41"/>
      <c r="O106" s="93" t="str">
        <f t="shared" si="5"/>
        <v/>
      </c>
      <c r="P106" s="11"/>
      <c r="Q106" s="11"/>
      <c r="R106" s="11"/>
      <c r="S106" s="11"/>
      <c r="T106" s="11"/>
      <c r="U106" s="12"/>
    </row>
    <row r="107" spans="1:21" ht="14">
      <c r="M107" s="5">
        <v>101</v>
      </c>
      <c r="N107" s="41"/>
      <c r="O107" s="93" t="str">
        <f t="shared" si="5"/>
        <v/>
      </c>
      <c r="P107" s="11"/>
      <c r="Q107" s="11"/>
      <c r="R107" s="11"/>
      <c r="S107" s="11"/>
      <c r="T107" s="11"/>
      <c r="U107" s="12"/>
    </row>
    <row r="108" spans="1:21" ht="14">
      <c r="M108" s="5">
        <v>102</v>
      </c>
      <c r="N108" s="41"/>
      <c r="O108" s="93" t="str">
        <f t="shared" si="5"/>
        <v/>
      </c>
      <c r="P108" s="11"/>
      <c r="Q108" s="11"/>
      <c r="R108" s="11"/>
      <c r="S108" s="11"/>
      <c r="T108" s="11"/>
      <c r="U108" s="12"/>
    </row>
    <row r="109" spans="1:21" ht="14">
      <c r="M109" s="5">
        <v>103</v>
      </c>
      <c r="N109" s="41"/>
      <c r="O109" s="93" t="str">
        <f t="shared" si="5"/>
        <v/>
      </c>
      <c r="P109" s="11"/>
      <c r="Q109" s="11"/>
      <c r="R109" s="11"/>
      <c r="S109" s="11"/>
      <c r="T109" s="11"/>
      <c r="U109" s="12"/>
    </row>
    <row r="110" spans="1:21" ht="14">
      <c r="M110" s="5">
        <v>104</v>
      </c>
      <c r="N110" s="41"/>
      <c r="O110" s="93" t="str">
        <f t="shared" si="5"/>
        <v/>
      </c>
      <c r="P110" s="11"/>
      <c r="Q110" s="11"/>
      <c r="R110" s="11"/>
      <c r="S110" s="11"/>
      <c r="T110" s="11"/>
      <c r="U110" s="12"/>
    </row>
    <row r="111" spans="1:21" ht="14">
      <c r="M111" s="5">
        <v>105</v>
      </c>
      <c r="N111" s="41"/>
      <c r="O111" s="93" t="str">
        <f t="shared" si="5"/>
        <v/>
      </c>
      <c r="P111" s="11"/>
      <c r="Q111" s="11"/>
      <c r="R111" s="11"/>
      <c r="S111" s="11"/>
      <c r="T111" s="11"/>
      <c r="U111" s="12"/>
    </row>
    <row r="112" spans="1:21" ht="14">
      <c r="M112" s="5">
        <v>106</v>
      </c>
      <c r="N112" s="41"/>
      <c r="O112" s="93" t="str">
        <f t="shared" si="5"/>
        <v/>
      </c>
      <c r="P112" s="11"/>
      <c r="Q112" s="11"/>
      <c r="R112" s="11"/>
      <c r="S112" s="11"/>
      <c r="T112" s="11"/>
      <c r="U112" s="12"/>
    </row>
    <row r="113" spans="13:21" ht="14">
      <c r="M113" s="5">
        <v>107</v>
      </c>
      <c r="N113" s="41"/>
      <c r="O113" s="93" t="str">
        <f t="shared" si="5"/>
        <v/>
      </c>
      <c r="P113" s="11"/>
      <c r="Q113" s="11"/>
      <c r="R113" s="11"/>
      <c r="S113" s="11"/>
      <c r="T113" s="11"/>
      <c r="U113" s="12"/>
    </row>
    <row r="114" spans="13:21" ht="14">
      <c r="M114" s="5">
        <v>108</v>
      </c>
      <c r="N114" s="41"/>
      <c r="O114" s="93" t="str">
        <f t="shared" si="5"/>
        <v/>
      </c>
      <c r="P114" s="11"/>
      <c r="Q114" s="11"/>
      <c r="R114" s="11"/>
      <c r="S114" s="11"/>
      <c r="T114" s="11"/>
      <c r="U114" s="12"/>
    </row>
    <row r="115" spans="13:21" ht="14">
      <c r="M115" s="5">
        <v>109</v>
      </c>
      <c r="N115" s="41"/>
      <c r="O115" s="93" t="str">
        <f t="shared" si="5"/>
        <v/>
      </c>
      <c r="P115" s="11"/>
      <c r="Q115" s="11"/>
      <c r="R115" s="11"/>
      <c r="S115" s="11"/>
      <c r="T115" s="11"/>
      <c r="U115" s="12"/>
    </row>
    <row r="116" spans="13:21" ht="14">
      <c r="M116" s="5">
        <v>110</v>
      </c>
      <c r="N116" s="41"/>
      <c r="O116" s="93" t="str">
        <f t="shared" si="5"/>
        <v/>
      </c>
      <c r="P116" s="11"/>
      <c r="Q116" s="11"/>
      <c r="R116" s="11"/>
      <c r="S116" s="11"/>
      <c r="T116" s="11"/>
      <c r="U116" s="12"/>
    </row>
    <row r="117" spans="13:21" ht="14">
      <c r="M117" s="5">
        <v>111</v>
      </c>
      <c r="N117" s="41"/>
      <c r="O117" s="93" t="str">
        <f t="shared" si="5"/>
        <v/>
      </c>
      <c r="P117" s="11"/>
      <c r="Q117" s="11"/>
      <c r="R117" s="11"/>
      <c r="S117" s="11"/>
      <c r="T117" s="11"/>
      <c r="U117" s="12"/>
    </row>
    <row r="118" spans="13:21" ht="14">
      <c r="M118" s="5">
        <v>112</v>
      </c>
      <c r="N118" s="41"/>
      <c r="O118" s="93" t="str">
        <f t="shared" si="5"/>
        <v/>
      </c>
      <c r="P118" s="11"/>
      <c r="Q118" s="11"/>
      <c r="R118" s="11"/>
      <c r="S118" s="11"/>
      <c r="T118" s="11"/>
      <c r="U118" s="12"/>
    </row>
    <row r="119" spans="13:21" ht="14">
      <c r="M119" s="5">
        <v>113</v>
      </c>
      <c r="N119" s="41"/>
      <c r="O119" s="93" t="str">
        <f t="shared" si="5"/>
        <v/>
      </c>
      <c r="P119" s="11"/>
      <c r="Q119" s="11"/>
      <c r="R119" s="11"/>
      <c r="S119" s="11"/>
      <c r="T119" s="11"/>
      <c r="U119" s="12"/>
    </row>
    <row r="120" spans="13:21" ht="14">
      <c r="M120" s="5">
        <v>114</v>
      </c>
      <c r="N120" s="41"/>
      <c r="O120" s="93" t="str">
        <f t="shared" si="5"/>
        <v/>
      </c>
      <c r="P120" s="11"/>
      <c r="Q120" s="11"/>
      <c r="R120" s="11"/>
      <c r="S120" s="11"/>
      <c r="T120" s="11"/>
      <c r="U120" s="12"/>
    </row>
    <row r="121" spans="13:21" ht="14">
      <c r="M121" s="5">
        <v>115</v>
      </c>
      <c r="N121" s="41"/>
      <c r="O121" s="93" t="str">
        <f t="shared" si="5"/>
        <v/>
      </c>
      <c r="P121" s="11"/>
      <c r="Q121" s="11"/>
      <c r="R121" s="11"/>
      <c r="S121" s="11"/>
      <c r="T121" s="11"/>
      <c r="U121" s="12"/>
    </row>
    <row r="122" spans="13:21" ht="14">
      <c r="M122" s="5">
        <v>116</v>
      </c>
      <c r="N122" s="41"/>
      <c r="O122" s="93" t="str">
        <f t="shared" si="5"/>
        <v/>
      </c>
      <c r="P122" s="11"/>
      <c r="Q122" s="11"/>
      <c r="R122" s="11"/>
      <c r="S122" s="11"/>
      <c r="T122" s="11"/>
      <c r="U122" s="12"/>
    </row>
    <row r="123" spans="13:21" ht="14">
      <c r="M123" s="5">
        <v>117</v>
      </c>
      <c r="N123" s="41"/>
      <c r="O123" s="93" t="str">
        <f t="shared" si="5"/>
        <v/>
      </c>
      <c r="P123" s="11"/>
      <c r="Q123" s="11"/>
      <c r="R123" s="11"/>
      <c r="S123" s="11"/>
      <c r="T123" s="11"/>
      <c r="U123" s="12"/>
    </row>
    <row r="124" spans="13:21" ht="14">
      <c r="M124" s="5">
        <v>118</v>
      </c>
      <c r="N124" s="41"/>
      <c r="O124" s="93" t="str">
        <f t="shared" si="5"/>
        <v/>
      </c>
      <c r="P124" s="11"/>
      <c r="Q124" s="11"/>
      <c r="R124" s="11"/>
      <c r="S124" s="11"/>
      <c r="T124" s="11"/>
      <c r="U124" s="12"/>
    </row>
    <row r="125" spans="13:21" ht="14">
      <c r="M125" s="5">
        <v>119</v>
      </c>
      <c r="N125" s="41"/>
      <c r="O125" s="93" t="str">
        <f t="shared" si="5"/>
        <v/>
      </c>
      <c r="P125" s="11"/>
      <c r="Q125" s="11"/>
      <c r="R125" s="11"/>
      <c r="S125" s="11"/>
      <c r="T125" s="11"/>
      <c r="U125" s="12"/>
    </row>
    <row r="126" spans="13:21" ht="14">
      <c r="M126" s="5">
        <v>120</v>
      </c>
      <c r="N126" s="41"/>
      <c r="O126" s="93" t="str">
        <f t="shared" si="5"/>
        <v/>
      </c>
      <c r="P126" s="11"/>
      <c r="Q126" s="11"/>
      <c r="R126" s="11"/>
      <c r="S126" s="11"/>
      <c r="T126" s="11"/>
      <c r="U126" s="12"/>
    </row>
    <row r="127" spans="13:21" ht="14">
      <c r="M127" s="5">
        <v>121</v>
      </c>
      <c r="N127" s="41"/>
      <c r="O127" s="93" t="str">
        <f t="shared" si="5"/>
        <v/>
      </c>
      <c r="P127" s="11"/>
      <c r="Q127" s="11"/>
      <c r="R127" s="11"/>
      <c r="S127" s="11"/>
      <c r="T127" s="11"/>
      <c r="U127" s="12"/>
    </row>
    <row r="128" spans="13:21" ht="14">
      <c r="M128" s="5">
        <v>122</v>
      </c>
      <c r="N128" s="41"/>
      <c r="O128" s="93" t="str">
        <f t="shared" si="5"/>
        <v/>
      </c>
      <c r="P128" s="11"/>
      <c r="Q128" s="11"/>
      <c r="R128" s="11"/>
      <c r="S128" s="11"/>
      <c r="T128" s="11"/>
      <c r="U128" s="12"/>
    </row>
    <row r="129" spans="13:21" ht="14">
      <c r="M129" s="5">
        <v>123</v>
      </c>
      <c r="N129" s="41"/>
      <c r="O129" s="93" t="str">
        <f t="shared" si="5"/>
        <v/>
      </c>
      <c r="P129" s="11"/>
      <c r="Q129" s="11"/>
      <c r="R129" s="11"/>
      <c r="S129" s="11"/>
      <c r="T129" s="11"/>
      <c r="U129" s="12"/>
    </row>
    <row r="130" spans="13:21" ht="14">
      <c r="M130" s="5">
        <v>124</v>
      </c>
      <c r="N130" s="41"/>
      <c r="O130" s="93" t="str">
        <f t="shared" si="5"/>
        <v/>
      </c>
      <c r="P130" s="11"/>
      <c r="Q130" s="11"/>
      <c r="R130" s="11"/>
      <c r="S130" s="11"/>
      <c r="T130" s="11"/>
      <c r="U130" s="12"/>
    </row>
    <row r="131" spans="13:21" ht="14">
      <c r="M131" s="5">
        <v>125</v>
      </c>
      <c r="N131" s="41"/>
      <c r="O131" s="93" t="str">
        <f t="shared" si="5"/>
        <v/>
      </c>
      <c r="P131" s="11"/>
      <c r="Q131" s="11"/>
      <c r="R131" s="11"/>
      <c r="S131" s="11"/>
      <c r="T131" s="11"/>
      <c r="U131" s="12"/>
    </row>
    <row r="132" spans="13:21" ht="14">
      <c r="M132" s="5">
        <v>126</v>
      </c>
      <c r="N132" s="41"/>
      <c r="O132" s="93" t="str">
        <f t="shared" si="5"/>
        <v/>
      </c>
      <c r="P132" s="11"/>
      <c r="Q132" s="11"/>
      <c r="R132" s="11"/>
      <c r="S132" s="11"/>
      <c r="T132" s="11"/>
      <c r="U132" s="12"/>
    </row>
    <row r="133" spans="13:21" ht="14">
      <c r="M133" s="5">
        <v>127</v>
      </c>
      <c r="N133" s="41"/>
      <c r="O133" s="93" t="str">
        <f t="shared" si="5"/>
        <v/>
      </c>
      <c r="P133" s="11"/>
      <c r="Q133" s="11"/>
      <c r="R133" s="11"/>
      <c r="S133" s="11"/>
      <c r="T133" s="11"/>
      <c r="U133" s="12"/>
    </row>
    <row r="134" spans="13:21" ht="14">
      <c r="M134" s="5">
        <v>128</v>
      </c>
      <c r="N134" s="41"/>
      <c r="O134" s="93" t="str">
        <f t="shared" si="5"/>
        <v/>
      </c>
      <c r="P134" s="11"/>
      <c r="Q134" s="11"/>
      <c r="R134" s="11"/>
      <c r="S134" s="11"/>
      <c r="T134" s="11"/>
      <c r="U134" s="12"/>
    </row>
    <row r="135" spans="13:21" ht="14">
      <c r="M135" s="5">
        <v>129</v>
      </c>
      <c r="N135" s="41"/>
      <c r="O135" s="93" t="str">
        <f t="shared" ref="O135:O198" si="6">IF(N135="","",TEXT(N135,"aaa"))</f>
        <v/>
      </c>
      <c r="P135" s="11"/>
      <c r="Q135" s="11"/>
      <c r="R135" s="11"/>
      <c r="S135" s="11"/>
      <c r="T135" s="11"/>
      <c r="U135" s="12"/>
    </row>
    <row r="136" spans="13:21" ht="14">
      <c r="M136" s="5">
        <v>130</v>
      </c>
      <c r="N136" s="41"/>
      <c r="O136" s="93" t="str">
        <f t="shared" si="6"/>
        <v/>
      </c>
      <c r="P136" s="11"/>
      <c r="Q136" s="11"/>
      <c r="R136" s="11"/>
      <c r="S136" s="11"/>
      <c r="T136" s="11"/>
      <c r="U136" s="12"/>
    </row>
    <row r="137" spans="13:21" ht="14">
      <c r="M137" s="5">
        <v>131</v>
      </c>
      <c r="N137" s="41"/>
      <c r="O137" s="93" t="str">
        <f t="shared" si="6"/>
        <v/>
      </c>
      <c r="P137" s="11"/>
      <c r="Q137" s="11"/>
      <c r="R137" s="11"/>
      <c r="S137" s="11"/>
      <c r="T137" s="11"/>
      <c r="U137" s="12"/>
    </row>
    <row r="138" spans="13:21" ht="14">
      <c r="M138" s="5">
        <v>132</v>
      </c>
      <c r="N138" s="41"/>
      <c r="O138" s="93" t="str">
        <f t="shared" si="6"/>
        <v/>
      </c>
      <c r="P138" s="11"/>
      <c r="Q138" s="11"/>
      <c r="R138" s="11"/>
      <c r="S138" s="11"/>
      <c r="T138" s="11"/>
      <c r="U138" s="12"/>
    </row>
    <row r="139" spans="13:21" ht="14">
      <c r="M139" s="5">
        <v>133</v>
      </c>
      <c r="N139" s="41"/>
      <c r="O139" s="93" t="str">
        <f t="shared" si="6"/>
        <v/>
      </c>
      <c r="P139" s="11"/>
      <c r="Q139" s="11"/>
      <c r="R139" s="11"/>
      <c r="S139" s="11"/>
      <c r="T139" s="11"/>
      <c r="U139" s="12"/>
    </row>
    <row r="140" spans="13:21" ht="14">
      <c r="M140" s="5">
        <v>134</v>
      </c>
      <c r="N140" s="41"/>
      <c r="O140" s="93" t="str">
        <f t="shared" si="6"/>
        <v/>
      </c>
      <c r="P140" s="11"/>
      <c r="Q140" s="11"/>
      <c r="R140" s="11"/>
      <c r="S140" s="11"/>
      <c r="T140" s="11"/>
      <c r="U140" s="12"/>
    </row>
    <row r="141" spans="13:21" ht="14">
      <c r="M141" s="5">
        <v>135</v>
      </c>
      <c r="N141" s="41"/>
      <c r="O141" s="93" t="str">
        <f t="shared" si="6"/>
        <v/>
      </c>
      <c r="P141" s="11"/>
      <c r="Q141" s="11"/>
      <c r="R141" s="11"/>
      <c r="S141" s="11"/>
      <c r="T141" s="11"/>
      <c r="U141" s="12"/>
    </row>
    <row r="142" spans="13:21" ht="14">
      <c r="M142" s="5">
        <v>136</v>
      </c>
      <c r="N142" s="41"/>
      <c r="O142" s="93" t="str">
        <f t="shared" si="6"/>
        <v/>
      </c>
      <c r="P142" s="11"/>
      <c r="Q142" s="11"/>
      <c r="R142" s="11"/>
      <c r="S142" s="11"/>
      <c r="T142" s="11"/>
      <c r="U142" s="12"/>
    </row>
    <row r="143" spans="13:21" ht="14">
      <c r="M143" s="5">
        <v>137</v>
      </c>
      <c r="N143" s="41"/>
      <c r="O143" s="93" t="str">
        <f t="shared" si="6"/>
        <v/>
      </c>
      <c r="P143" s="11"/>
      <c r="Q143" s="11"/>
      <c r="R143" s="11"/>
      <c r="S143" s="11"/>
      <c r="T143" s="11"/>
      <c r="U143" s="12"/>
    </row>
    <row r="144" spans="13:21" ht="14">
      <c r="M144" s="5">
        <v>138</v>
      </c>
      <c r="N144" s="41"/>
      <c r="O144" s="93" t="str">
        <f t="shared" si="6"/>
        <v/>
      </c>
      <c r="P144" s="11"/>
      <c r="Q144" s="11"/>
      <c r="R144" s="11"/>
      <c r="S144" s="11"/>
      <c r="T144" s="11"/>
      <c r="U144" s="12"/>
    </row>
    <row r="145" spans="13:21" ht="14">
      <c r="M145" s="5">
        <v>139</v>
      </c>
      <c r="N145" s="41"/>
      <c r="O145" s="93" t="str">
        <f t="shared" si="6"/>
        <v/>
      </c>
      <c r="P145" s="11"/>
      <c r="Q145" s="11"/>
      <c r="R145" s="11"/>
      <c r="S145" s="11"/>
      <c r="T145" s="11"/>
      <c r="U145" s="12"/>
    </row>
    <row r="146" spans="13:21" ht="14">
      <c r="M146" s="5">
        <v>140</v>
      </c>
      <c r="N146" s="41"/>
      <c r="O146" s="93" t="str">
        <f t="shared" si="6"/>
        <v/>
      </c>
      <c r="P146" s="11"/>
      <c r="Q146" s="11"/>
      <c r="R146" s="11"/>
      <c r="S146" s="11"/>
      <c r="T146" s="11"/>
      <c r="U146" s="12"/>
    </row>
    <row r="147" spans="13:21" ht="14">
      <c r="M147" s="5">
        <v>141</v>
      </c>
      <c r="N147" s="41"/>
      <c r="O147" s="93" t="str">
        <f t="shared" si="6"/>
        <v/>
      </c>
      <c r="P147" s="11"/>
      <c r="Q147" s="11"/>
      <c r="R147" s="11"/>
      <c r="S147" s="11"/>
      <c r="T147" s="11"/>
      <c r="U147" s="12"/>
    </row>
    <row r="148" spans="13:21" ht="14">
      <c r="M148" s="5">
        <v>142</v>
      </c>
      <c r="N148" s="41"/>
      <c r="O148" s="93" t="str">
        <f t="shared" si="6"/>
        <v/>
      </c>
      <c r="P148" s="11"/>
      <c r="Q148" s="11"/>
      <c r="R148" s="11"/>
      <c r="S148" s="11"/>
      <c r="T148" s="11"/>
      <c r="U148" s="12"/>
    </row>
    <row r="149" spans="13:21" ht="14">
      <c r="M149" s="5">
        <v>143</v>
      </c>
      <c r="N149" s="41"/>
      <c r="O149" s="93" t="str">
        <f t="shared" si="6"/>
        <v/>
      </c>
      <c r="P149" s="11"/>
      <c r="Q149" s="11"/>
      <c r="R149" s="11"/>
      <c r="S149" s="11"/>
      <c r="T149" s="11"/>
      <c r="U149" s="12"/>
    </row>
    <row r="150" spans="13:21" ht="14">
      <c r="M150" s="5">
        <v>144</v>
      </c>
      <c r="N150" s="41"/>
      <c r="O150" s="93" t="str">
        <f t="shared" si="6"/>
        <v/>
      </c>
      <c r="P150" s="11"/>
      <c r="Q150" s="11"/>
      <c r="R150" s="11"/>
      <c r="S150" s="11"/>
      <c r="T150" s="11"/>
      <c r="U150" s="12"/>
    </row>
    <row r="151" spans="13:21" ht="14">
      <c r="M151" s="5">
        <v>145</v>
      </c>
      <c r="N151" s="41"/>
      <c r="O151" s="93" t="str">
        <f t="shared" si="6"/>
        <v/>
      </c>
      <c r="P151" s="11"/>
      <c r="Q151" s="11"/>
      <c r="R151" s="11"/>
      <c r="S151" s="11"/>
      <c r="T151" s="11"/>
      <c r="U151" s="12"/>
    </row>
    <row r="152" spans="13:21" ht="14">
      <c r="M152" s="5">
        <v>146</v>
      </c>
      <c r="N152" s="41"/>
      <c r="O152" s="93" t="str">
        <f t="shared" si="6"/>
        <v/>
      </c>
      <c r="P152" s="11"/>
      <c r="Q152" s="11"/>
      <c r="R152" s="11"/>
      <c r="S152" s="11"/>
      <c r="T152" s="11"/>
      <c r="U152" s="12"/>
    </row>
    <row r="153" spans="13:21" ht="14">
      <c r="M153" s="5">
        <v>147</v>
      </c>
      <c r="N153" s="41"/>
      <c r="O153" s="93" t="str">
        <f t="shared" si="6"/>
        <v/>
      </c>
      <c r="P153" s="11"/>
      <c r="Q153" s="11"/>
      <c r="R153" s="11"/>
      <c r="S153" s="11"/>
      <c r="T153" s="11"/>
      <c r="U153" s="12"/>
    </row>
    <row r="154" spans="13:21" ht="14">
      <c r="M154" s="5">
        <v>148</v>
      </c>
      <c r="N154" s="41"/>
      <c r="O154" s="93" t="str">
        <f t="shared" si="6"/>
        <v/>
      </c>
      <c r="P154" s="11"/>
      <c r="Q154" s="11"/>
      <c r="R154" s="11"/>
      <c r="S154" s="11"/>
      <c r="T154" s="11"/>
      <c r="U154" s="12"/>
    </row>
    <row r="155" spans="13:21" ht="14">
      <c r="M155" s="5">
        <v>149</v>
      </c>
      <c r="N155" s="41"/>
      <c r="O155" s="93" t="str">
        <f t="shared" si="6"/>
        <v/>
      </c>
      <c r="P155" s="11"/>
      <c r="Q155" s="11"/>
      <c r="R155" s="11"/>
      <c r="S155" s="11"/>
      <c r="T155" s="11"/>
      <c r="U155" s="12"/>
    </row>
    <row r="156" spans="13:21" ht="14">
      <c r="M156" s="5">
        <v>150</v>
      </c>
      <c r="N156" s="41"/>
      <c r="O156" s="93" t="str">
        <f t="shared" si="6"/>
        <v/>
      </c>
      <c r="P156" s="11"/>
      <c r="Q156" s="11"/>
      <c r="R156" s="11"/>
      <c r="S156" s="11"/>
      <c r="T156" s="11"/>
      <c r="U156" s="12"/>
    </row>
    <row r="157" spans="13:21" ht="14">
      <c r="M157" s="5">
        <v>151</v>
      </c>
      <c r="N157" s="41"/>
      <c r="O157" s="93" t="str">
        <f t="shared" si="6"/>
        <v/>
      </c>
      <c r="P157" s="11"/>
      <c r="Q157" s="11"/>
      <c r="R157" s="11"/>
      <c r="S157" s="11"/>
      <c r="T157" s="11"/>
      <c r="U157" s="12"/>
    </row>
    <row r="158" spans="13:21" ht="14">
      <c r="M158" s="5">
        <v>152</v>
      </c>
      <c r="N158" s="41"/>
      <c r="O158" s="93" t="str">
        <f t="shared" si="6"/>
        <v/>
      </c>
      <c r="P158" s="11"/>
      <c r="Q158" s="11"/>
      <c r="R158" s="11"/>
      <c r="S158" s="11"/>
      <c r="T158" s="11"/>
      <c r="U158" s="12"/>
    </row>
    <row r="159" spans="13:21" ht="14">
      <c r="M159" s="5">
        <v>153</v>
      </c>
      <c r="N159" s="41"/>
      <c r="O159" s="93" t="str">
        <f t="shared" si="6"/>
        <v/>
      </c>
      <c r="P159" s="11"/>
      <c r="Q159" s="11"/>
      <c r="R159" s="11"/>
      <c r="S159" s="11"/>
      <c r="T159" s="11"/>
      <c r="U159" s="12"/>
    </row>
    <row r="160" spans="13:21" ht="14">
      <c r="M160" s="5">
        <v>154</v>
      </c>
      <c r="N160" s="41"/>
      <c r="O160" s="93" t="str">
        <f t="shared" si="6"/>
        <v/>
      </c>
      <c r="P160" s="11"/>
      <c r="Q160" s="11"/>
      <c r="R160" s="11"/>
      <c r="S160" s="11"/>
      <c r="T160" s="11"/>
      <c r="U160" s="12"/>
    </row>
    <row r="161" spans="13:21" ht="14">
      <c r="M161" s="5">
        <v>155</v>
      </c>
      <c r="N161" s="41"/>
      <c r="O161" s="93" t="str">
        <f t="shared" si="6"/>
        <v/>
      </c>
      <c r="P161" s="11"/>
      <c r="Q161" s="11"/>
      <c r="R161" s="11"/>
      <c r="S161" s="11"/>
      <c r="T161" s="11"/>
      <c r="U161" s="12"/>
    </row>
    <row r="162" spans="13:21" ht="14">
      <c r="M162" s="5">
        <v>156</v>
      </c>
      <c r="N162" s="41"/>
      <c r="O162" s="93" t="str">
        <f t="shared" si="6"/>
        <v/>
      </c>
      <c r="P162" s="11"/>
      <c r="Q162" s="11"/>
      <c r="R162" s="11"/>
      <c r="S162" s="11"/>
      <c r="T162" s="11"/>
      <c r="U162" s="12"/>
    </row>
    <row r="163" spans="13:21" ht="14">
      <c r="M163" s="5">
        <v>157</v>
      </c>
      <c r="N163" s="41"/>
      <c r="O163" s="93" t="str">
        <f t="shared" si="6"/>
        <v/>
      </c>
      <c r="P163" s="11"/>
      <c r="Q163" s="11"/>
      <c r="R163" s="11"/>
      <c r="S163" s="11"/>
      <c r="T163" s="11"/>
      <c r="U163" s="12"/>
    </row>
    <row r="164" spans="13:21" ht="14">
      <c r="M164" s="5">
        <v>158</v>
      </c>
      <c r="N164" s="41"/>
      <c r="O164" s="93" t="str">
        <f t="shared" si="6"/>
        <v/>
      </c>
      <c r="P164" s="11"/>
      <c r="Q164" s="11"/>
      <c r="R164" s="11"/>
      <c r="S164" s="11"/>
      <c r="T164" s="11"/>
      <c r="U164" s="12"/>
    </row>
    <row r="165" spans="13:21" ht="14">
      <c r="M165" s="5">
        <v>159</v>
      </c>
      <c r="N165" s="41"/>
      <c r="O165" s="93" t="str">
        <f t="shared" si="6"/>
        <v/>
      </c>
      <c r="P165" s="11"/>
      <c r="Q165" s="11"/>
      <c r="R165" s="11"/>
      <c r="S165" s="11"/>
      <c r="T165" s="11"/>
      <c r="U165" s="12"/>
    </row>
    <row r="166" spans="13:21" ht="14">
      <c r="M166" s="5">
        <v>160</v>
      </c>
      <c r="N166" s="41"/>
      <c r="O166" s="93" t="str">
        <f t="shared" si="6"/>
        <v/>
      </c>
      <c r="P166" s="11"/>
      <c r="Q166" s="11"/>
      <c r="R166" s="11"/>
      <c r="S166" s="11"/>
      <c r="T166" s="11"/>
      <c r="U166" s="12"/>
    </row>
    <row r="167" spans="13:21" ht="14">
      <c r="M167" s="5">
        <v>161</v>
      </c>
      <c r="N167" s="41"/>
      <c r="O167" s="93" t="str">
        <f t="shared" si="6"/>
        <v/>
      </c>
      <c r="P167" s="11"/>
      <c r="Q167" s="11"/>
      <c r="R167" s="11"/>
      <c r="S167" s="11"/>
      <c r="T167" s="11"/>
      <c r="U167" s="12"/>
    </row>
    <row r="168" spans="13:21" ht="14">
      <c r="M168" s="5">
        <v>162</v>
      </c>
      <c r="N168" s="41"/>
      <c r="O168" s="93" t="str">
        <f t="shared" si="6"/>
        <v/>
      </c>
      <c r="P168" s="11"/>
      <c r="Q168" s="11"/>
      <c r="R168" s="11"/>
      <c r="S168" s="11"/>
      <c r="T168" s="11"/>
      <c r="U168" s="12"/>
    </row>
    <row r="169" spans="13:21" ht="14">
      <c r="M169" s="5">
        <v>163</v>
      </c>
      <c r="N169" s="41"/>
      <c r="O169" s="93" t="str">
        <f t="shared" si="6"/>
        <v/>
      </c>
      <c r="P169" s="11"/>
      <c r="Q169" s="11"/>
      <c r="R169" s="11"/>
      <c r="S169" s="11"/>
      <c r="T169" s="11"/>
      <c r="U169" s="12"/>
    </row>
    <row r="170" spans="13:21" ht="14">
      <c r="M170" s="5">
        <v>164</v>
      </c>
      <c r="N170" s="41"/>
      <c r="O170" s="93" t="str">
        <f t="shared" si="6"/>
        <v/>
      </c>
      <c r="P170" s="11"/>
      <c r="Q170" s="11"/>
      <c r="R170" s="11"/>
      <c r="S170" s="11"/>
      <c r="T170" s="11"/>
      <c r="U170" s="12"/>
    </row>
    <row r="171" spans="13:21" ht="14">
      <c r="M171" s="5">
        <v>165</v>
      </c>
      <c r="N171" s="41"/>
      <c r="O171" s="93" t="str">
        <f t="shared" si="6"/>
        <v/>
      </c>
      <c r="P171" s="11"/>
      <c r="Q171" s="11"/>
      <c r="R171" s="11"/>
      <c r="S171" s="11"/>
      <c r="T171" s="11"/>
      <c r="U171" s="12"/>
    </row>
    <row r="172" spans="13:21" ht="14">
      <c r="M172" s="5">
        <v>166</v>
      </c>
      <c r="N172" s="41"/>
      <c r="O172" s="93" t="str">
        <f t="shared" si="6"/>
        <v/>
      </c>
      <c r="P172" s="11"/>
      <c r="Q172" s="11"/>
      <c r="R172" s="11"/>
      <c r="S172" s="11"/>
      <c r="T172" s="11"/>
      <c r="U172" s="12"/>
    </row>
    <row r="173" spans="13:21" ht="14">
      <c r="M173" s="5">
        <v>167</v>
      </c>
      <c r="N173" s="41"/>
      <c r="O173" s="93" t="str">
        <f t="shared" si="6"/>
        <v/>
      </c>
      <c r="P173" s="11"/>
      <c r="Q173" s="11"/>
      <c r="R173" s="11"/>
      <c r="S173" s="11"/>
      <c r="T173" s="11"/>
      <c r="U173" s="12"/>
    </row>
    <row r="174" spans="13:21" ht="14">
      <c r="M174" s="5">
        <v>168</v>
      </c>
      <c r="N174" s="41"/>
      <c r="O174" s="93" t="str">
        <f t="shared" si="6"/>
        <v/>
      </c>
      <c r="P174" s="11"/>
      <c r="Q174" s="11"/>
      <c r="R174" s="11"/>
      <c r="S174" s="11"/>
      <c r="T174" s="11"/>
      <c r="U174" s="12"/>
    </row>
    <row r="175" spans="13:21" ht="14">
      <c r="M175" s="5">
        <v>169</v>
      </c>
      <c r="N175" s="41"/>
      <c r="O175" s="93" t="str">
        <f t="shared" si="6"/>
        <v/>
      </c>
      <c r="P175" s="11"/>
      <c r="Q175" s="11"/>
      <c r="R175" s="11"/>
      <c r="S175" s="11"/>
      <c r="T175" s="11"/>
      <c r="U175" s="12"/>
    </row>
    <row r="176" spans="13:21" ht="14">
      <c r="M176" s="5">
        <v>170</v>
      </c>
      <c r="N176" s="41"/>
      <c r="O176" s="93" t="str">
        <f t="shared" si="6"/>
        <v/>
      </c>
      <c r="P176" s="11"/>
      <c r="Q176" s="11"/>
      <c r="R176" s="11"/>
      <c r="S176" s="11"/>
      <c r="T176" s="11"/>
      <c r="U176" s="12"/>
    </row>
    <row r="177" spans="13:21" ht="14">
      <c r="M177" s="5">
        <v>171</v>
      </c>
      <c r="N177" s="41"/>
      <c r="O177" s="93" t="str">
        <f t="shared" si="6"/>
        <v/>
      </c>
      <c r="P177" s="11"/>
      <c r="Q177" s="11"/>
      <c r="R177" s="11"/>
      <c r="S177" s="11"/>
      <c r="T177" s="11"/>
      <c r="U177" s="12"/>
    </row>
    <row r="178" spans="13:21" ht="14">
      <c r="M178" s="5">
        <v>172</v>
      </c>
      <c r="N178" s="41"/>
      <c r="O178" s="93" t="str">
        <f t="shared" si="6"/>
        <v/>
      </c>
      <c r="P178" s="11"/>
      <c r="Q178" s="11"/>
      <c r="R178" s="11"/>
      <c r="S178" s="11"/>
      <c r="T178" s="11"/>
      <c r="U178" s="12"/>
    </row>
    <row r="179" spans="13:21" ht="14">
      <c r="M179" s="5">
        <v>173</v>
      </c>
      <c r="N179" s="41"/>
      <c r="O179" s="93" t="str">
        <f t="shared" si="6"/>
        <v/>
      </c>
      <c r="P179" s="11"/>
      <c r="Q179" s="11"/>
      <c r="R179" s="11"/>
      <c r="S179" s="11"/>
      <c r="T179" s="11"/>
      <c r="U179" s="12"/>
    </row>
    <row r="180" spans="13:21" ht="14">
      <c r="M180" s="5">
        <v>174</v>
      </c>
      <c r="N180" s="41"/>
      <c r="O180" s="93" t="str">
        <f t="shared" si="6"/>
        <v/>
      </c>
      <c r="P180" s="11"/>
      <c r="Q180" s="11"/>
      <c r="R180" s="11"/>
      <c r="S180" s="11"/>
      <c r="T180" s="11"/>
      <c r="U180" s="12"/>
    </row>
    <row r="181" spans="13:21" ht="14">
      <c r="M181" s="5">
        <v>175</v>
      </c>
      <c r="N181" s="41"/>
      <c r="O181" s="93" t="str">
        <f t="shared" si="6"/>
        <v/>
      </c>
      <c r="P181" s="11"/>
      <c r="Q181" s="11"/>
      <c r="R181" s="11"/>
      <c r="S181" s="11"/>
      <c r="T181" s="11"/>
      <c r="U181" s="12"/>
    </row>
    <row r="182" spans="13:21" ht="14">
      <c r="M182" s="5">
        <v>176</v>
      </c>
      <c r="N182" s="41"/>
      <c r="O182" s="93" t="str">
        <f t="shared" si="6"/>
        <v/>
      </c>
      <c r="P182" s="11"/>
      <c r="Q182" s="11"/>
      <c r="R182" s="11"/>
      <c r="S182" s="11"/>
      <c r="T182" s="11"/>
      <c r="U182" s="12"/>
    </row>
    <row r="183" spans="13:21" ht="14">
      <c r="M183" s="5">
        <v>177</v>
      </c>
      <c r="N183" s="41"/>
      <c r="O183" s="93" t="str">
        <f t="shared" si="6"/>
        <v/>
      </c>
      <c r="P183" s="11"/>
      <c r="Q183" s="11"/>
      <c r="R183" s="11"/>
      <c r="S183" s="11"/>
      <c r="T183" s="11"/>
      <c r="U183" s="12"/>
    </row>
    <row r="184" spans="13:21" ht="14">
      <c r="M184" s="5">
        <v>178</v>
      </c>
      <c r="N184" s="41"/>
      <c r="O184" s="93" t="str">
        <f t="shared" si="6"/>
        <v/>
      </c>
      <c r="P184" s="11"/>
      <c r="Q184" s="11"/>
      <c r="R184" s="11"/>
      <c r="S184" s="11"/>
      <c r="T184" s="11"/>
      <c r="U184" s="12"/>
    </row>
    <row r="185" spans="13:21" ht="14">
      <c r="M185" s="5">
        <v>179</v>
      </c>
      <c r="N185" s="41"/>
      <c r="O185" s="93" t="str">
        <f t="shared" si="6"/>
        <v/>
      </c>
      <c r="P185" s="11"/>
      <c r="Q185" s="11"/>
      <c r="R185" s="11"/>
      <c r="S185" s="11"/>
      <c r="T185" s="11"/>
      <c r="U185" s="12"/>
    </row>
    <row r="186" spans="13:21" ht="14">
      <c r="M186" s="5">
        <v>180</v>
      </c>
      <c r="N186" s="41"/>
      <c r="O186" s="93" t="str">
        <f t="shared" si="6"/>
        <v/>
      </c>
      <c r="P186" s="11"/>
      <c r="Q186" s="11"/>
      <c r="R186" s="11"/>
      <c r="S186" s="11"/>
      <c r="T186" s="11"/>
      <c r="U186" s="12"/>
    </row>
    <row r="187" spans="13:21" ht="14">
      <c r="M187" s="5">
        <v>181</v>
      </c>
      <c r="N187" s="41"/>
      <c r="O187" s="93" t="str">
        <f t="shared" si="6"/>
        <v/>
      </c>
      <c r="P187" s="11"/>
      <c r="Q187" s="11"/>
      <c r="R187" s="11"/>
      <c r="S187" s="11"/>
      <c r="T187" s="11"/>
      <c r="U187" s="12"/>
    </row>
    <row r="188" spans="13:21" ht="14">
      <c r="M188" s="5">
        <v>182</v>
      </c>
      <c r="N188" s="41"/>
      <c r="O188" s="93" t="str">
        <f t="shared" si="6"/>
        <v/>
      </c>
      <c r="P188" s="11"/>
      <c r="Q188" s="11"/>
      <c r="R188" s="11"/>
      <c r="S188" s="11"/>
      <c r="T188" s="11"/>
      <c r="U188" s="12"/>
    </row>
    <row r="189" spans="13:21" ht="14">
      <c r="M189" s="5">
        <v>183</v>
      </c>
      <c r="N189" s="41"/>
      <c r="O189" s="93" t="str">
        <f t="shared" si="6"/>
        <v/>
      </c>
      <c r="P189" s="11"/>
      <c r="Q189" s="11"/>
      <c r="R189" s="11"/>
      <c r="S189" s="11"/>
      <c r="T189" s="11"/>
      <c r="U189" s="12"/>
    </row>
    <row r="190" spans="13:21" ht="14">
      <c r="M190" s="5">
        <v>184</v>
      </c>
      <c r="N190" s="41"/>
      <c r="O190" s="93" t="str">
        <f t="shared" si="6"/>
        <v/>
      </c>
      <c r="P190" s="11"/>
      <c r="Q190" s="11"/>
      <c r="R190" s="11"/>
      <c r="S190" s="11"/>
      <c r="T190" s="11"/>
      <c r="U190" s="12"/>
    </row>
    <row r="191" spans="13:21" ht="14">
      <c r="M191" s="5">
        <v>185</v>
      </c>
      <c r="N191" s="41"/>
      <c r="O191" s="93" t="str">
        <f t="shared" si="6"/>
        <v/>
      </c>
      <c r="P191" s="11"/>
      <c r="Q191" s="11"/>
      <c r="R191" s="11"/>
      <c r="S191" s="11"/>
      <c r="T191" s="11"/>
      <c r="U191" s="12"/>
    </row>
    <row r="192" spans="13:21" ht="14">
      <c r="M192" s="5">
        <v>186</v>
      </c>
      <c r="N192" s="41"/>
      <c r="O192" s="93" t="str">
        <f t="shared" si="6"/>
        <v/>
      </c>
      <c r="P192" s="11"/>
      <c r="Q192" s="11"/>
      <c r="R192" s="11"/>
      <c r="S192" s="11"/>
      <c r="T192" s="11"/>
      <c r="U192" s="12"/>
    </row>
    <row r="193" spans="13:21" ht="14">
      <c r="M193" s="5">
        <v>187</v>
      </c>
      <c r="N193" s="41"/>
      <c r="O193" s="93" t="str">
        <f t="shared" si="6"/>
        <v/>
      </c>
      <c r="P193" s="11"/>
      <c r="Q193" s="11"/>
      <c r="R193" s="11"/>
      <c r="S193" s="11"/>
      <c r="T193" s="11"/>
      <c r="U193" s="12"/>
    </row>
    <row r="194" spans="13:21" ht="14">
      <c r="M194" s="5">
        <v>188</v>
      </c>
      <c r="N194" s="41"/>
      <c r="O194" s="93" t="str">
        <f t="shared" si="6"/>
        <v/>
      </c>
      <c r="P194" s="11"/>
      <c r="Q194" s="11"/>
      <c r="R194" s="11"/>
      <c r="S194" s="11"/>
      <c r="T194" s="11"/>
      <c r="U194" s="12"/>
    </row>
    <row r="195" spans="13:21" ht="14">
      <c r="M195" s="5">
        <v>189</v>
      </c>
      <c r="N195" s="41"/>
      <c r="O195" s="93" t="str">
        <f t="shared" si="6"/>
        <v/>
      </c>
      <c r="P195" s="11"/>
      <c r="Q195" s="11"/>
      <c r="R195" s="11"/>
      <c r="S195" s="11"/>
      <c r="T195" s="11"/>
      <c r="U195" s="12"/>
    </row>
    <row r="196" spans="13:21" ht="14">
      <c r="M196" s="5">
        <v>190</v>
      </c>
      <c r="N196" s="41"/>
      <c r="O196" s="93" t="str">
        <f t="shared" si="6"/>
        <v/>
      </c>
      <c r="P196" s="11"/>
      <c r="Q196" s="11"/>
      <c r="R196" s="11"/>
      <c r="S196" s="11"/>
      <c r="T196" s="11"/>
      <c r="U196" s="12"/>
    </row>
    <row r="197" spans="13:21" ht="14">
      <c r="M197" s="5">
        <v>191</v>
      </c>
      <c r="N197" s="41"/>
      <c r="O197" s="93" t="str">
        <f t="shared" si="6"/>
        <v/>
      </c>
      <c r="P197" s="11"/>
      <c r="Q197" s="11"/>
      <c r="R197" s="11"/>
      <c r="S197" s="11"/>
      <c r="T197" s="11"/>
      <c r="U197" s="12"/>
    </row>
    <row r="198" spans="13:21" ht="14">
      <c r="M198" s="5">
        <v>192</v>
      </c>
      <c r="N198" s="41"/>
      <c r="O198" s="93" t="str">
        <f t="shared" si="6"/>
        <v/>
      </c>
      <c r="P198" s="11"/>
      <c r="Q198" s="11"/>
      <c r="R198" s="11"/>
      <c r="S198" s="11"/>
      <c r="T198" s="11"/>
      <c r="U198" s="12"/>
    </row>
    <row r="199" spans="13:21" ht="14">
      <c r="M199" s="5">
        <v>193</v>
      </c>
      <c r="N199" s="41"/>
      <c r="O199" s="93" t="str">
        <f t="shared" ref="O199:O262" si="7">IF(N199="","",TEXT(N199,"aaa"))</f>
        <v/>
      </c>
      <c r="P199" s="11"/>
      <c r="Q199" s="11"/>
      <c r="R199" s="11"/>
      <c r="S199" s="11"/>
      <c r="T199" s="11"/>
      <c r="U199" s="12"/>
    </row>
    <row r="200" spans="13:21" ht="14">
      <c r="M200" s="5">
        <v>194</v>
      </c>
      <c r="N200" s="41"/>
      <c r="O200" s="93" t="str">
        <f t="shared" si="7"/>
        <v/>
      </c>
      <c r="P200" s="11"/>
      <c r="Q200" s="11"/>
      <c r="R200" s="11"/>
      <c r="S200" s="11"/>
      <c r="T200" s="11"/>
      <c r="U200" s="12"/>
    </row>
    <row r="201" spans="13:21" ht="14">
      <c r="M201" s="5">
        <v>195</v>
      </c>
      <c r="N201" s="41"/>
      <c r="O201" s="93" t="str">
        <f t="shared" si="7"/>
        <v/>
      </c>
      <c r="P201" s="11"/>
      <c r="Q201" s="11"/>
      <c r="R201" s="11"/>
      <c r="S201" s="11"/>
      <c r="T201" s="11"/>
      <c r="U201" s="12"/>
    </row>
    <row r="202" spans="13:21" ht="14">
      <c r="M202" s="5">
        <v>196</v>
      </c>
      <c r="N202" s="41"/>
      <c r="O202" s="93" t="str">
        <f t="shared" si="7"/>
        <v/>
      </c>
      <c r="P202" s="11"/>
      <c r="Q202" s="11"/>
      <c r="R202" s="11"/>
      <c r="S202" s="11"/>
      <c r="T202" s="11"/>
      <c r="U202" s="12"/>
    </row>
    <row r="203" spans="13:21" ht="14">
      <c r="M203" s="5">
        <v>197</v>
      </c>
      <c r="N203" s="41"/>
      <c r="O203" s="93" t="str">
        <f t="shared" si="7"/>
        <v/>
      </c>
      <c r="P203" s="11"/>
      <c r="Q203" s="11"/>
      <c r="R203" s="11"/>
      <c r="S203" s="11"/>
      <c r="T203" s="11"/>
      <c r="U203" s="12"/>
    </row>
    <row r="204" spans="13:21" ht="14">
      <c r="M204" s="5">
        <v>198</v>
      </c>
      <c r="N204" s="41"/>
      <c r="O204" s="93" t="str">
        <f t="shared" si="7"/>
        <v/>
      </c>
      <c r="P204" s="11"/>
      <c r="Q204" s="11"/>
      <c r="R204" s="11"/>
      <c r="S204" s="11"/>
      <c r="T204" s="11"/>
      <c r="U204" s="12"/>
    </row>
    <row r="205" spans="13:21" ht="14">
      <c r="M205" s="5">
        <v>199</v>
      </c>
      <c r="N205" s="41"/>
      <c r="O205" s="93" t="str">
        <f t="shared" si="7"/>
        <v/>
      </c>
      <c r="P205" s="11"/>
      <c r="Q205" s="11"/>
      <c r="R205" s="11"/>
      <c r="S205" s="11"/>
      <c r="T205" s="11"/>
      <c r="U205" s="12"/>
    </row>
    <row r="206" spans="13:21" ht="14">
      <c r="M206" s="5">
        <v>200</v>
      </c>
      <c r="N206" s="41"/>
      <c r="O206" s="93" t="str">
        <f t="shared" si="7"/>
        <v/>
      </c>
      <c r="P206" s="11"/>
      <c r="Q206" s="11"/>
      <c r="R206" s="11"/>
      <c r="S206" s="11"/>
      <c r="T206" s="11"/>
      <c r="U206" s="12"/>
    </row>
    <row r="207" spans="13:21" ht="14">
      <c r="M207" s="5">
        <v>201</v>
      </c>
      <c r="N207" s="41"/>
      <c r="O207" s="93" t="str">
        <f t="shared" si="7"/>
        <v/>
      </c>
      <c r="P207" s="11"/>
      <c r="Q207" s="11"/>
      <c r="R207" s="11"/>
      <c r="S207" s="11"/>
      <c r="T207" s="11"/>
      <c r="U207" s="12"/>
    </row>
    <row r="208" spans="13:21" ht="14">
      <c r="M208" s="5">
        <v>202</v>
      </c>
      <c r="N208" s="41"/>
      <c r="O208" s="93" t="str">
        <f t="shared" si="7"/>
        <v/>
      </c>
      <c r="P208" s="11"/>
      <c r="Q208" s="11"/>
      <c r="R208" s="11"/>
      <c r="S208" s="11"/>
      <c r="T208" s="11"/>
      <c r="U208" s="12"/>
    </row>
    <row r="209" spans="13:21" ht="14">
      <c r="M209" s="5">
        <v>203</v>
      </c>
      <c r="N209" s="41"/>
      <c r="O209" s="93" t="str">
        <f t="shared" si="7"/>
        <v/>
      </c>
      <c r="P209" s="11"/>
      <c r="Q209" s="11"/>
      <c r="R209" s="11"/>
      <c r="S209" s="11"/>
      <c r="T209" s="11"/>
      <c r="U209" s="12"/>
    </row>
    <row r="210" spans="13:21" ht="14">
      <c r="M210" s="5">
        <v>204</v>
      </c>
      <c r="N210" s="41"/>
      <c r="O210" s="93" t="str">
        <f t="shared" si="7"/>
        <v/>
      </c>
      <c r="P210" s="11"/>
      <c r="Q210" s="11"/>
      <c r="R210" s="11"/>
      <c r="S210" s="11"/>
      <c r="T210" s="11"/>
      <c r="U210" s="12"/>
    </row>
    <row r="211" spans="13:21" ht="14">
      <c r="M211" s="5">
        <v>205</v>
      </c>
      <c r="N211" s="41"/>
      <c r="O211" s="93" t="str">
        <f t="shared" si="7"/>
        <v/>
      </c>
      <c r="P211" s="11"/>
      <c r="Q211" s="11"/>
      <c r="R211" s="11"/>
      <c r="S211" s="11"/>
      <c r="T211" s="11"/>
      <c r="U211" s="12"/>
    </row>
    <row r="212" spans="13:21" ht="14">
      <c r="M212" s="5">
        <v>206</v>
      </c>
      <c r="N212" s="41"/>
      <c r="O212" s="93" t="str">
        <f t="shared" si="7"/>
        <v/>
      </c>
      <c r="P212" s="11"/>
      <c r="Q212" s="11"/>
      <c r="R212" s="11"/>
      <c r="S212" s="11"/>
      <c r="T212" s="11"/>
      <c r="U212" s="12"/>
    </row>
    <row r="213" spans="13:21" ht="14">
      <c r="M213" s="5">
        <v>207</v>
      </c>
      <c r="N213" s="41"/>
      <c r="O213" s="93" t="str">
        <f t="shared" si="7"/>
        <v/>
      </c>
      <c r="P213" s="11"/>
      <c r="Q213" s="11"/>
      <c r="R213" s="11"/>
      <c r="S213" s="11"/>
      <c r="T213" s="11"/>
      <c r="U213" s="12"/>
    </row>
    <row r="214" spans="13:21" ht="14">
      <c r="M214" s="5">
        <v>208</v>
      </c>
      <c r="N214" s="41"/>
      <c r="O214" s="93" t="str">
        <f t="shared" si="7"/>
        <v/>
      </c>
      <c r="P214" s="11"/>
      <c r="Q214" s="11"/>
      <c r="R214" s="11"/>
      <c r="S214" s="11"/>
      <c r="T214" s="11"/>
      <c r="U214" s="12"/>
    </row>
    <row r="215" spans="13:21" ht="14">
      <c r="M215" s="5">
        <v>209</v>
      </c>
      <c r="N215" s="41"/>
      <c r="O215" s="93" t="str">
        <f t="shared" si="7"/>
        <v/>
      </c>
      <c r="P215" s="11"/>
      <c r="Q215" s="11"/>
      <c r="R215" s="11"/>
      <c r="S215" s="11"/>
      <c r="T215" s="11"/>
      <c r="U215" s="12"/>
    </row>
    <row r="216" spans="13:21" ht="14">
      <c r="M216" s="5">
        <v>210</v>
      </c>
      <c r="N216" s="41"/>
      <c r="O216" s="93" t="str">
        <f t="shared" si="7"/>
        <v/>
      </c>
      <c r="P216" s="11"/>
      <c r="Q216" s="11"/>
      <c r="R216" s="11"/>
      <c r="S216" s="11"/>
      <c r="T216" s="11"/>
      <c r="U216" s="12"/>
    </row>
    <row r="217" spans="13:21" ht="14">
      <c r="M217" s="5">
        <v>211</v>
      </c>
      <c r="N217" s="41"/>
      <c r="O217" s="93" t="str">
        <f t="shared" si="7"/>
        <v/>
      </c>
      <c r="P217" s="11"/>
      <c r="Q217" s="11"/>
      <c r="R217" s="11"/>
      <c r="S217" s="11"/>
      <c r="T217" s="11"/>
      <c r="U217" s="12"/>
    </row>
    <row r="218" spans="13:21" ht="14">
      <c r="M218" s="5">
        <v>212</v>
      </c>
      <c r="N218" s="41"/>
      <c r="O218" s="93" t="str">
        <f t="shared" si="7"/>
        <v/>
      </c>
      <c r="P218" s="11"/>
      <c r="Q218" s="11"/>
      <c r="R218" s="11"/>
      <c r="S218" s="11"/>
      <c r="T218" s="11"/>
      <c r="U218" s="12"/>
    </row>
    <row r="219" spans="13:21" ht="14">
      <c r="M219" s="5">
        <v>213</v>
      </c>
      <c r="N219" s="41"/>
      <c r="O219" s="93" t="str">
        <f t="shared" si="7"/>
        <v/>
      </c>
      <c r="P219" s="11"/>
      <c r="Q219" s="11"/>
      <c r="R219" s="11"/>
      <c r="S219" s="11"/>
      <c r="T219" s="11"/>
      <c r="U219" s="12"/>
    </row>
    <row r="220" spans="13:21" ht="14">
      <c r="M220" s="5">
        <v>214</v>
      </c>
      <c r="N220" s="41"/>
      <c r="O220" s="93" t="str">
        <f t="shared" si="7"/>
        <v/>
      </c>
      <c r="P220" s="11"/>
      <c r="Q220" s="11"/>
      <c r="R220" s="11"/>
      <c r="S220" s="11"/>
      <c r="T220" s="11"/>
      <c r="U220" s="12"/>
    </row>
    <row r="221" spans="13:21" ht="14">
      <c r="M221" s="5">
        <v>215</v>
      </c>
      <c r="N221" s="41"/>
      <c r="O221" s="93" t="str">
        <f t="shared" si="7"/>
        <v/>
      </c>
      <c r="P221" s="11"/>
      <c r="Q221" s="11"/>
      <c r="R221" s="11"/>
      <c r="S221" s="11"/>
      <c r="T221" s="11"/>
      <c r="U221" s="12"/>
    </row>
    <row r="222" spans="13:21" ht="14">
      <c r="M222" s="5">
        <v>216</v>
      </c>
      <c r="N222" s="41"/>
      <c r="O222" s="93" t="str">
        <f t="shared" si="7"/>
        <v/>
      </c>
      <c r="P222" s="11"/>
      <c r="Q222" s="11"/>
      <c r="R222" s="11"/>
      <c r="S222" s="11"/>
      <c r="T222" s="11"/>
      <c r="U222" s="12"/>
    </row>
    <row r="223" spans="13:21" ht="14">
      <c r="M223" s="5">
        <v>217</v>
      </c>
      <c r="N223" s="41"/>
      <c r="O223" s="93" t="str">
        <f t="shared" si="7"/>
        <v/>
      </c>
      <c r="P223" s="11"/>
      <c r="Q223" s="11"/>
      <c r="R223" s="11"/>
      <c r="S223" s="11"/>
      <c r="T223" s="11"/>
      <c r="U223" s="12"/>
    </row>
    <row r="224" spans="13:21" ht="14">
      <c r="M224" s="5">
        <v>218</v>
      </c>
      <c r="N224" s="41"/>
      <c r="O224" s="93" t="str">
        <f t="shared" si="7"/>
        <v/>
      </c>
      <c r="P224" s="11"/>
      <c r="Q224" s="11"/>
      <c r="R224" s="11"/>
      <c r="S224" s="11"/>
      <c r="T224" s="11"/>
      <c r="U224" s="12"/>
    </row>
    <row r="225" spans="13:21" ht="14">
      <c r="M225" s="5">
        <v>219</v>
      </c>
      <c r="N225" s="41"/>
      <c r="O225" s="93" t="str">
        <f t="shared" si="7"/>
        <v/>
      </c>
      <c r="P225" s="11"/>
      <c r="Q225" s="11"/>
      <c r="R225" s="11"/>
      <c r="S225" s="11"/>
      <c r="T225" s="11"/>
      <c r="U225" s="12"/>
    </row>
    <row r="226" spans="13:21" ht="14">
      <c r="M226" s="5">
        <v>220</v>
      </c>
      <c r="N226" s="41"/>
      <c r="O226" s="93" t="str">
        <f t="shared" si="7"/>
        <v/>
      </c>
      <c r="P226" s="11"/>
      <c r="Q226" s="11"/>
      <c r="R226" s="11"/>
      <c r="S226" s="11"/>
      <c r="T226" s="11"/>
      <c r="U226" s="12"/>
    </row>
    <row r="227" spans="13:21" ht="14">
      <c r="M227" s="5">
        <v>221</v>
      </c>
      <c r="N227" s="41"/>
      <c r="O227" s="93" t="str">
        <f t="shared" si="7"/>
        <v/>
      </c>
      <c r="P227" s="11"/>
      <c r="Q227" s="11"/>
      <c r="R227" s="11"/>
      <c r="S227" s="11"/>
      <c r="T227" s="11"/>
      <c r="U227" s="12"/>
    </row>
    <row r="228" spans="13:21" ht="14">
      <c r="M228" s="5">
        <v>222</v>
      </c>
      <c r="N228" s="41"/>
      <c r="O228" s="93" t="str">
        <f t="shared" si="7"/>
        <v/>
      </c>
      <c r="P228" s="11"/>
      <c r="Q228" s="11"/>
      <c r="R228" s="11"/>
      <c r="S228" s="11"/>
      <c r="T228" s="11"/>
      <c r="U228" s="12"/>
    </row>
    <row r="229" spans="13:21" ht="14">
      <c r="M229" s="5">
        <v>223</v>
      </c>
      <c r="N229" s="41"/>
      <c r="O229" s="93" t="str">
        <f t="shared" si="7"/>
        <v/>
      </c>
      <c r="P229" s="11"/>
      <c r="Q229" s="11"/>
      <c r="R229" s="11"/>
      <c r="S229" s="11"/>
      <c r="T229" s="11"/>
      <c r="U229" s="12"/>
    </row>
    <row r="230" spans="13:21" ht="14">
      <c r="M230" s="5">
        <v>224</v>
      </c>
      <c r="N230" s="41"/>
      <c r="O230" s="93" t="str">
        <f t="shared" si="7"/>
        <v/>
      </c>
      <c r="P230" s="11"/>
      <c r="Q230" s="11"/>
      <c r="R230" s="11"/>
      <c r="S230" s="11"/>
      <c r="T230" s="11"/>
      <c r="U230" s="12"/>
    </row>
    <row r="231" spans="13:21" ht="14">
      <c r="M231" s="5">
        <v>225</v>
      </c>
      <c r="N231" s="41"/>
      <c r="O231" s="93" t="str">
        <f t="shared" si="7"/>
        <v/>
      </c>
      <c r="P231" s="11"/>
      <c r="Q231" s="11"/>
      <c r="R231" s="11"/>
      <c r="S231" s="11"/>
      <c r="T231" s="11"/>
      <c r="U231" s="12"/>
    </row>
    <row r="232" spans="13:21" ht="14">
      <c r="M232" s="5">
        <v>226</v>
      </c>
      <c r="N232" s="41"/>
      <c r="O232" s="93" t="str">
        <f t="shared" si="7"/>
        <v/>
      </c>
      <c r="P232" s="11"/>
      <c r="Q232" s="11"/>
      <c r="R232" s="11"/>
      <c r="S232" s="11"/>
      <c r="T232" s="11"/>
      <c r="U232" s="12"/>
    </row>
    <row r="233" spans="13:21" ht="14">
      <c r="M233" s="5">
        <v>227</v>
      </c>
      <c r="N233" s="41"/>
      <c r="O233" s="93" t="str">
        <f t="shared" si="7"/>
        <v/>
      </c>
      <c r="P233" s="11"/>
      <c r="Q233" s="11"/>
      <c r="R233" s="11"/>
      <c r="S233" s="11"/>
      <c r="T233" s="11"/>
      <c r="U233" s="12"/>
    </row>
    <row r="234" spans="13:21" ht="14">
      <c r="M234" s="5">
        <v>228</v>
      </c>
      <c r="N234" s="41"/>
      <c r="O234" s="93" t="str">
        <f t="shared" si="7"/>
        <v/>
      </c>
      <c r="P234" s="11"/>
      <c r="Q234" s="11"/>
      <c r="R234" s="11"/>
      <c r="S234" s="11"/>
      <c r="T234" s="11"/>
      <c r="U234" s="12"/>
    </row>
    <row r="235" spans="13:21" ht="14">
      <c r="M235" s="5">
        <v>229</v>
      </c>
      <c r="N235" s="41"/>
      <c r="O235" s="93" t="str">
        <f t="shared" si="7"/>
        <v/>
      </c>
      <c r="P235" s="11"/>
      <c r="Q235" s="11"/>
      <c r="R235" s="11"/>
      <c r="S235" s="11"/>
      <c r="T235" s="11"/>
      <c r="U235" s="12"/>
    </row>
    <row r="236" spans="13:21" ht="14">
      <c r="M236" s="5">
        <v>230</v>
      </c>
      <c r="N236" s="41"/>
      <c r="O236" s="93" t="str">
        <f t="shared" si="7"/>
        <v/>
      </c>
      <c r="P236" s="11"/>
      <c r="Q236" s="11"/>
      <c r="R236" s="11"/>
      <c r="S236" s="11"/>
      <c r="T236" s="11"/>
      <c r="U236" s="12"/>
    </row>
    <row r="237" spans="13:21" ht="14">
      <c r="M237" s="5">
        <v>231</v>
      </c>
      <c r="N237" s="41"/>
      <c r="O237" s="93" t="str">
        <f t="shared" si="7"/>
        <v/>
      </c>
      <c r="P237" s="11"/>
      <c r="Q237" s="11"/>
      <c r="R237" s="11"/>
      <c r="S237" s="11"/>
      <c r="T237" s="11"/>
      <c r="U237" s="12"/>
    </row>
    <row r="238" spans="13:21" ht="14">
      <c r="M238" s="5">
        <v>232</v>
      </c>
      <c r="N238" s="41"/>
      <c r="O238" s="93" t="str">
        <f t="shared" si="7"/>
        <v/>
      </c>
      <c r="P238" s="11"/>
      <c r="Q238" s="11"/>
      <c r="R238" s="11"/>
      <c r="S238" s="11"/>
      <c r="T238" s="11"/>
      <c r="U238" s="12"/>
    </row>
    <row r="239" spans="13:21" ht="14">
      <c r="M239" s="5">
        <v>233</v>
      </c>
      <c r="N239" s="41"/>
      <c r="O239" s="93" t="str">
        <f t="shared" si="7"/>
        <v/>
      </c>
      <c r="P239" s="11"/>
      <c r="Q239" s="11"/>
      <c r="R239" s="11"/>
      <c r="S239" s="11"/>
      <c r="T239" s="11"/>
      <c r="U239" s="12"/>
    </row>
    <row r="240" spans="13:21" ht="14">
      <c r="M240" s="5">
        <v>234</v>
      </c>
      <c r="N240" s="41"/>
      <c r="O240" s="93" t="str">
        <f t="shared" si="7"/>
        <v/>
      </c>
      <c r="P240" s="11"/>
      <c r="Q240" s="11"/>
      <c r="R240" s="11"/>
      <c r="S240" s="11"/>
      <c r="T240" s="11"/>
      <c r="U240" s="12"/>
    </row>
    <row r="241" spans="13:21" ht="14">
      <c r="M241" s="5">
        <v>235</v>
      </c>
      <c r="N241" s="41"/>
      <c r="O241" s="93" t="str">
        <f t="shared" si="7"/>
        <v/>
      </c>
      <c r="P241" s="11"/>
      <c r="Q241" s="11"/>
      <c r="R241" s="11"/>
      <c r="S241" s="11"/>
      <c r="T241" s="11"/>
      <c r="U241" s="12"/>
    </row>
    <row r="242" spans="13:21" ht="14">
      <c r="M242" s="5">
        <v>236</v>
      </c>
      <c r="N242" s="41"/>
      <c r="O242" s="93" t="str">
        <f t="shared" si="7"/>
        <v/>
      </c>
      <c r="P242" s="11"/>
      <c r="Q242" s="11"/>
      <c r="R242" s="11"/>
      <c r="S242" s="11"/>
      <c r="T242" s="11"/>
      <c r="U242" s="12"/>
    </row>
    <row r="243" spans="13:21" ht="14">
      <c r="M243" s="5">
        <v>237</v>
      </c>
      <c r="N243" s="41"/>
      <c r="O243" s="93" t="str">
        <f t="shared" si="7"/>
        <v/>
      </c>
      <c r="P243" s="11"/>
      <c r="Q243" s="11"/>
      <c r="R243" s="11"/>
      <c r="S243" s="11"/>
      <c r="T243" s="11"/>
      <c r="U243" s="12"/>
    </row>
    <row r="244" spans="13:21" ht="14">
      <c r="M244" s="5">
        <v>238</v>
      </c>
      <c r="N244" s="41"/>
      <c r="O244" s="93" t="str">
        <f t="shared" si="7"/>
        <v/>
      </c>
      <c r="P244" s="11"/>
      <c r="Q244" s="11"/>
      <c r="R244" s="11"/>
      <c r="S244" s="11"/>
      <c r="T244" s="11"/>
      <c r="U244" s="12"/>
    </row>
    <row r="245" spans="13:21" ht="14">
      <c r="M245" s="5">
        <v>239</v>
      </c>
      <c r="N245" s="41"/>
      <c r="O245" s="93" t="str">
        <f t="shared" si="7"/>
        <v/>
      </c>
      <c r="P245" s="11"/>
      <c r="Q245" s="11"/>
      <c r="R245" s="11"/>
      <c r="S245" s="11"/>
      <c r="T245" s="11"/>
      <c r="U245" s="12"/>
    </row>
    <row r="246" spans="13:21" ht="14">
      <c r="M246" s="5">
        <v>240</v>
      </c>
      <c r="N246" s="41"/>
      <c r="O246" s="93" t="str">
        <f t="shared" si="7"/>
        <v/>
      </c>
      <c r="P246" s="11"/>
      <c r="Q246" s="11"/>
      <c r="R246" s="11"/>
      <c r="S246" s="11"/>
      <c r="T246" s="11"/>
      <c r="U246" s="12"/>
    </row>
    <row r="247" spans="13:21" ht="14">
      <c r="M247" s="5">
        <v>241</v>
      </c>
      <c r="N247" s="41"/>
      <c r="O247" s="93" t="str">
        <f t="shared" si="7"/>
        <v/>
      </c>
      <c r="P247" s="11"/>
      <c r="Q247" s="11"/>
      <c r="R247" s="11"/>
      <c r="S247" s="11"/>
      <c r="T247" s="11"/>
      <c r="U247" s="12"/>
    </row>
    <row r="248" spans="13:21" ht="14">
      <c r="M248" s="5">
        <v>242</v>
      </c>
      <c r="N248" s="41"/>
      <c r="O248" s="93" t="str">
        <f t="shared" si="7"/>
        <v/>
      </c>
      <c r="P248" s="11"/>
      <c r="Q248" s="11"/>
      <c r="R248" s="11"/>
      <c r="S248" s="11"/>
      <c r="T248" s="11"/>
      <c r="U248" s="12"/>
    </row>
    <row r="249" spans="13:21" ht="14">
      <c r="M249" s="5">
        <v>243</v>
      </c>
      <c r="N249" s="41"/>
      <c r="O249" s="93" t="str">
        <f t="shared" si="7"/>
        <v/>
      </c>
      <c r="P249" s="11"/>
      <c r="Q249" s="11"/>
      <c r="R249" s="11"/>
      <c r="S249" s="11"/>
      <c r="T249" s="11"/>
      <c r="U249" s="12"/>
    </row>
    <row r="250" spans="13:21" ht="14">
      <c r="M250" s="5">
        <v>244</v>
      </c>
      <c r="N250" s="41"/>
      <c r="O250" s="93" t="str">
        <f t="shared" si="7"/>
        <v/>
      </c>
      <c r="P250" s="11"/>
      <c r="Q250" s="11"/>
      <c r="R250" s="11"/>
      <c r="S250" s="11"/>
      <c r="T250" s="11"/>
      <c r="U250" s="12"/>
    </row>
    <row r="251" spans="13:21" ht="14">
      <c r="M251" s="5">
        <v>245</v>
      </c>
      <c r="N251" s="41"/>
      <c r="O251" s="93" t="str">
        <f t="shared" si="7"/>
        <v/>
      </c>
      <c r="P251" s="11"/>
      <c r="Q251" s="11"/>
      <c r="R251" s="11"/>
      <c r="S251" s="11"/>
      <c r="T251" s="11"/>
      <c r="U251" s="12"/>
    </row>
    <row r="252" spans="13:21" ht="14">
      <c r="M252" s="5">
        <v>246</v>
      </c>
      <c r="N252" s="41"/>
      <c r="O252" s="93" t="str">
        <f t="shared" si="7"/>
        <v/>
      </c>
      <c r="P252" s="11"/>
      <c r="Q252" s="11"/>
      <c r="R252" s="11"/>
      <c r="S252" s="11"/>
      <c r="T252" s="11"/>
      <c r="U252" s="12"/>
    </row>
    <row r="253" spans="13:21" ht="14">
      <c r="M253" s="5">
        <v>247</v>
      </c>
      <c r="N253" s="41"/>
      <c r="O253" s="93" t="str">
        <f t="shared" si="7"/>
        <v/>
      </c>
      <c r="P253" s="11"/>
      <c r="Q253" s="11"/>
      <c r="R253" s="11"/>
      <c r="S253" s="11"/>
      <c r="T253" s="11"/>
      <c r="U253" s="12"/>
    </row>
    <row r="254" spans="13:21" ht="14">
      <c r="M254" s="5">
        <v>248</v>
      </c>
      <c r="N254" s="41"/>
      <c r="O254" s="93" t="str">
        <f t="shared" si="7"/>
        <v/>
      </c>
      <c r="P254" s="11"/>
      <c r="Q254" s="11"/>
      <c r="R254" s="11"/>
      <c r="S254" s="11"/>
      <c r="T254" s="11"/>
      <c r="U254" s="12"/>
    </row>
    <row r="255" spans="13:21" ht="14">
      <c r="M255" s="5">
        <v>249</v>
      </c>
      <c r="N255" s="41"/>
      <c r="O255" s="93" t="str">
        <f t="shared" si="7"/>
        <v/>
      </c>
      <c r="P255" s="11"/>
      <c r="Q255" s="11"/>
      <c r="R255" s="11"/>
      <c r="S255" s="11"/>
      <c r="T255" s="11"/>
      <c r="U255" s="12"/>
    </row>
    <row r="256" spans="13:21" ht="14">
      <c r="M256" s="5">
        <v>250</v>
      </c>
      <c r="N256" s="41"/>
      <c r="O256" s="93" t="str">
        <f t="shared" si="7"/>
        <v/>
      </c>
      <c r="P256" s="11"/>
      <c r="Q256" s="11"/>
      <c r="R256" s="11"/>
      <c r="S256" s="11"/>
      <c r="T256" s="11"/>
      <c r="U256" s="12"/>
    </row>
    <row r="257" spans="13:21" ht="14">
      <c r="M257" s="5">
        <v>251</v>
      </c>
      <c r="N257" s="41"/>
      <c r="O257" s="93" t="str">
        <f t="shared" si="7"/>
        <v/>
      </c>
      <c r="P257" s="11"/>
      <c r="Q257" s="11"/>
      <c r="R257" s="11"/>
      <c r="S257" s="11"/>
      <c r="T257" s="11"/>
      <c r="U257" s="12"/>
    </row>
    <row r="258" spans="13:21" ht="14">
      <c r="M258" s="5">
        <v>252</v>
      </c>
      <c r="N258" s="41"/>
      <c r="O258" s="93" t="str">
        <f t="shared" si="7"/>
        <v/>
      </c>
      <c r="P258" s="11"/>
      <c r="Q258" s="11"/>
      <c r="R258" s="11"/>
      <c r="S258" s="11"/>
      <c r="T258" s="11"/>
      <c r="U258" s="12"/>
    </row>
    <row r="259" spans="13:21" ht="14">
      <c r="M259" s="5">
        <v>253</v>
      </c>
      <c r="N259" s="41"/>
      <c r="O259" s="93" t="str">
        <f t="shared" si="7"/>
        <v/>
      </c>
      <c r="P259" s="11"/>
      <c r="Q259" s="11"/>
      <c r="R259" s="11"/>
      <c r="S259" s="11"/>
      <c r="T259" s="11"/>
      <c r="U259" s="12"/>
    </row>
    <row r="260" spans="13:21" ht="14">
      <c r="M260" s="5">
        <v>254</v>
      </c>
      <c r="N260" s="41"/>
      <c r="O260" s="93" t="str">
        <f t="shared" si="7"/>
        <v/>
      </c>
      <c r="P260" s="11"/>
      <c r="Q260" s="11"/>
      <c r="R260" s="11"/>
      <c r="S260" s="11"/>
      <c r="T260" s="11"/>
      <c r="U260" s="12"/>
    </row>
    <row r="261" spans="13:21" ht="14">
      <c r="M261" s="5">
        <v>255</v>
      </c>
      <c r="N261" s="41"/>
      <c r="O261" s="93" t="str">
        <f t="shared" si="7"/>
        <v/>
      </c>
      <c r="P261" s="11"/>
      <c r="Q261" s="11"/>
      <c r="R261" s="11"/>
      <c r="S261" s="11"/>
      <c r="T261" s="11"/>
      <c r="U261" s="12"/>
    </row>
    <row r="262" spans="13:21" ht="14">
      <c r="M262" s="5">
        <v>256</v>
      </c>
      <c r="N262" s="41"/>
      <c r="O262" s="93" t="str">
        <f t="shared" si="7"/>
        <v/>
      </c>
      <c r="P262" s="11"/>
      <c r="Q262" s="11"/>
      <c r="R262" s="11"/>
      <c r="S262" s="11"/>
      <c r="T262" s="11"/>
      <c r="U262" s="12"/>
    </row>
    <row r="263" spans="13:21" ht="14">
      <c r="M263" s="5">
        <v>257</v>
      </c>
      <c r="N263" s="41"/>
      <c r="O263" s="93" t="str">
        <f t="shared" ref="O263:O300" si="8">IF(N263="","",TEXT(N263,"aaa"))</f>
        <v/>
      </c>
      <c r="P263" s="11"/>
      <c r="Q263" s="11"/>
      <c r="R263" s="11"/>
      <c r="S263" s="11"/>
      <c r="T263" s="11"/>
      <c r="U263" s="12"/>
    </row>
    <row r="264" spans="13:21" ht="14">
      <c r="M264" s="5">
        <v>258</v>
      </c>
      <c r="N264" s="41"/>
      <c r="O264" s="93" t="str">
        <f t="shared" si="8"/>
        <v/>
      </c>
      <c r="P264" s="11"/>
      <c r="Q264" s="11"/>
      <c r="R264" s="11"/>
      <c r="S264" s="11"/>
      <c r="T264" s="11"/>
      <c r="U264" s="12"/>
    </row>
    <row r="265" spans="13:21" ht="14">
      <c r="M265" s="5">
        <v>259</v>
      </c>
      <c r="N265" s="41"/>
      <c r="O265" s="93" t="str">
        <f t="shared" si="8"/>
        <v/>
      </c>
      <c r="P265" s="11"/>
      <c r="Q265" s="11"/>
      <c r="R265" s="11"/>
      <c r="S265" s="11"/>
      <c r="T265" s="11"/>
      <c r="U265" s="12"/>
    </row>
    <row r="266" spans="13:21" ht="14">
      <c r="M266" s="5">
        <v>260</v>
      </c>
      <c r="N266" s="41"/>
      <c r="O266" s="93" t="str">
        <f t="shared" si="8"/>
        <v/>
      </c>
      <c r="P266" s="11"/>
      <c r="Q266" s="11"/>
      <c r="R266" s="11"/>
      <c r="S266" s="11"/>
      <c r="T266" s="11"/>
      <c r="U266" s="12"/>
    </row>
    <row r="267" spans="13:21" ht="14">
      <c r="M267" s="5">
        <v>261</v>
      </c>
      <c r="N267" s="41"/>
      <c r="O267" s="93" t="str">
        <f t="shared" si="8"/>
        <v/>
      </c>
      <c r="P267" s="11"/>
      <c r="Q267" s="11"/>
      <c r="R267" s="11"/>
      <c r="S267" s="11"/>
      <c r="T267" s="11"/>
      <c r="U267" s="12"/>
    </row>
    <row r="268" spans="13:21" ht="14">
      <c r="M268" s="5">
        <v>262</v>
      </c>
      <c r="N268" s="41"/>
      <c r="O268" s="93" t="str">
        <f t="shared" si="8"/>
        <v/>
      </c>
      <c r="P268" s="11"/>
      <c r="Q268" s="11"/>
      <c r="R268" s="11"/>
      <c r="S268" s="11"/>
      <c r="T268" s="11"/>
      <c r="U268" s="12"/>
    </row>
    <row r="269" spans="13:21" ht="14">
      <c r="M269" s="5">
        <v>263</v>
      </c>
      <c r="N269" s="41"/>
      <c r="O269" s="93" t="str">
        <f t="shared" si="8"/>
        <v/>
      </c>
      <c r="P269" s="11"/>
      <c r="Q269" s="11"/>
      <c r="R269" s="11"/>
      <c r="S269" s="11"/>
      <c r="T269" s="11"/>
      <c r="U269" s="12"/>
    </row>
    <row r="270" spans="13:21" ht="14">
      <c r="M270" s="5">
        <v>264</v>
      </c>
      <c r="N270" s="41"/>
      <c r="O270" s="93" t="str">
        <f t="shared" si="8"/>
        <v/>
      </c>
      <c r="P270" s="11"/>
      <c r="Q270" s="11"/>
      <c r="R270" s="11"/>
      <c r="S270" s="11"/>
      <c r="T270" s="11"/>
      <c r="U270" s="12"/>
    </row>
    <row r="271" spans="13:21" ht="14">
      <c r="M271" s="5">
        <v>265</v>
      </c>
      <c r="N271" s="41"/>
      <c r="O271" s="93" t="str">
        <f t="shared" si="8"/>
        <v/>
      </c>
      <c r="P271" s="11"/>
      <c r="Q271" s="11"/>
      <c r="R271" s="11"/>
      <c r="S271" s="11"/>
      <c r="T271" s="11"/>
      <c r="U271" s="12"/>
    </row>
    <row r="272" spans="13:21" ht="14">
      <c r="M272" s="5">
        <v>266</v>
      </c>
      <c r="N272" s="41"/>
      <c r="O272" s="93" t="str">
        <f t="shared" si="8"/>
        <v/>
      </c>
      <c r="P272" s="11"/>
      <c r="Q272" s="11"/>
      <c r="R272" s="11"/>
      <c r="S272" s="11"/>
      <c r="T272" s="11"/>
      <c r="U272" s="12"/>
    </row>
    <row r="273" spans="13:21" ht="14">
      <c r="M273" s="5">
        <v>267</v>
      </c>
      <c r="N273" s="41"/>
      <c r="O273" s="93" t="str">
        <f t="shared" si="8"/>
        <v/>
      </c>
      <c r="P273" s="11"/>
      <c r="Q273" s="11"/>
      <c r="R273" s="11"/>
      <c r="S273" s="11"/>
      <c r="T273" s="11"/>
      <c r="U273" s="12"/>
    </row>
    <row r="274" spans="13:21" ht="14">
      <c r="M274" s="5">
        <v>268</v>
      </c>
      <c r="N274" s="41"/>
      <c r="O274" s="93" t="str">
        <f t="shared" si="8"/>
        <v/>
      </c>
      <c r="P274" s="11"/>
      <c r="Q274" s="11"/>
      <c r="R274" s="11"/>
      <c r="S274" s="11"/>
      <c r="T274" s="11"/>
      <c r="U274" s="12"/>
    </row>
    <row r="275" spans="13:21" ht="14">
      <c r="M275" s="5">
        <v>269</v>
      </c>
      <c r="N275" s="41"/>
      <c r="O275" s="93" t="str">
        <f t="shared" si="8"/>
        <v/>
      </c>
      <c r="P275" s="11"/>
      <c r="Q275" s="11"/>
      <c r="R275" s="11"/>
      <c r="S275" s="11"/>
      <c r="T275" s="11"/>
      <c r="U275" s="12"/>
    </row>
    <row r="276" spans="13:21" ht="14">
      <c r="M276" s="5">
        <v>270</v>
      </c>
      <c r="N276" s="41"/>
      <c r="O276" s="93" t="str">
        <f t="shared" si="8"/>
        <v/>
      </c>
      <c r="P276" s="11"/>
      <c r="Q276" s="11"/>
      <c r="R276" s="11"/>
      <c r="S276" s="11"/>
      <c r="T276" s="11"/>
      <c r="U276" s="12"/>
    </row>
    <row r="277" spans="13:21" ht="14">
      <c r="M277" s="5">
        <v>271</v>
      </c>
      <c r="N277" s="41"/>
      <c r="O277" s="93" t="str">
        <f t="shared" si="8"/>
        <v/>
      </c>
      <c r="P277" s="11"/>
      <c r="Q277" s="11"/>
      <c r="R277" s="11"/>
      <c r="S277" s="11"/>
      <c r="T277" s="11"/>
      <c r="U277" s="12"/>
    </row>
    <row r="278" spans="13:21" ht="14">
      <c r="M278" s="5">
        <v>272</v>
      </c>
      <c r="N278" s="41"/>
      <c r="O278" s="93" t="str">
        <f t="shared" si="8"/>
        <v/>
      </c>
      <c r="P278" s="11"/>
      <c r="Q278" s="11"/>
      <c r="R278" s="11"/>
      <c r="S278" s="11"/>
      <c r="T278" s="11"/>
      <c r="U278" s="12"/>
    </row>
    <row r="279" spans="13:21" ht="14">
      <c r="M279" s="5">
        <v>273</v>
      </c>
      <c r="N279" s="41"/>
      <c r="O279" s="93" t="str">
        <f t="shared" si="8"/>
        <v/>
      </c>
      <c r="P279" s="11"/>
      <c r="Q279" s="11"/>
      <c r="R279" s="11"/>
      <c r="S279" s="11"/>
      <c r="T279" s="11"/>
      <c r="U279" s="12"/>
    </row>
    <row r="280" spans="13:21" ht="14">
      <c r="M280" s="5">
        <v>274</v>
      </c>
      <c r="N280" s="41"/>
      <c r="O280" s="93" t="str">
        <f t="shared" si="8"/>
        <v/>
      </c>
      <c r="P280" s="11"/>
      <c r="Q280" s="11"/>
      <c r="R280" s="11"/>
      <c r="S280" s="11"/>
      <c r="T280" s="11"/>
      <c r="U280" s="12"/>
    </row>
    <row r="281" spans="13:21" ht="14">
      <c r="M281" s="5">
        <v>275</v>
      </c>
      <c r="N281" s="41"/>
      <c r="O281" s="93" t="str">
        <f t="shared" si="8"/>
        <v/>
      </c>
      <c r="P281" s="11"/>
      <c r="Q281" s="11"/>
      <c r="R281" s="11"/>
      <c r="S281" s="11"/>
      <c r="T281" s="11"/>
      <c r="U281" s="12"/>
    </row>
    <row r="282" spans="13:21" ht="14">
      <c r="M282" s="5">
        <v>276</v>
      </c>
      <c r="N282" s="41"/>
      <c r="O282" s="93" t="str">
        <f t="shared" si="8"/>
        <v/>
      </c>
      <c r="P282" s="11"/>
      <c r="Q282" s="11"/>
      <c r="R282" s="11"/>
      <c r="S282" s="11"/>
      <c r="T282" s="11"/>
      <c r="U282" s="12"/>
    </row>
    <row r="283" spans="13:21" ht="14">
      <c r="M283" s="5">
        <v>277</v>
      </c>
      <c r="N283" s="41"/>
      <c r="O283" s="93" t="str">
        <f t="shared" si="8"/>
        <v/>
      </c>
      <c r="P283" s="11"/>
      <c r="Q283" s="11"/>
      <c r="R283" s="11"/>
      <c r="S283" s="11"/>
      <c r="T283" s="11"/>
      <c r="U283" s="12"/>
    </row>
    <row r="284" spans="13:21" ht="14">
      <c r="M284" s="5">
        <v>278</v>
      </c>
      <c r="N284" s="41"/>
      <c r="O284" s="93" t="str">
        <f t="shared" si="8"/>
        <v/>
      </c>
      <c r="P284" s="11"/>
      <c r="Q284" s="11"/>
      <c r="R284" s="11"/>
      <c r="S284" s="11"/>
      <c r="T284" s="11"/>
      <c r="U284" s="12"/>
    </row>
    <row r="285" spans="13:21" ht="14">
      <c r="M285" s="5">
        <v>279</v>
      </c>
      <c r="N285" s="41"/>
      <c r="O285" s="93" t="str">
        <f t="shared" si="8"/>
        <v/>
      </c>
      <c r="P285" s="11"/>
      <c r="Q285" s="11"/>
      <c r="R285" s="11"/>
      <c r="S285" s="11"/>
      <c r="T285" s="11"/>
      <c r="U285" s="12"/>
    </row>
    <row r="286" spans="13:21" ht="14">
      <c r="M286" s="5">
        <v>280</v>
      </c>
      <c r="N286" s="41"/>
      <c r="O286" s="93" t="str">
        <f>IF(N286="","",TEXT(N286,"aaa"))</f>
        <v/>
      </c>
      <c r="P286" s="11"/>
      <c r="Q286" s="11"/>
      <c r="R286" s="11"/>
      <c r="S286" s="11"/>
      <c r="T286" s="11"/>
      <c r="U286" s="12"/>
    </row>
    <row r="287" spans="13:21" ht="14">
      <c r="M287" s="5">
        <v>281</v>
      </c>
      <c r="N287" s="41"/>
      <c r="O287" s="93" t="str">
        <f t="shared" si="8"/>
        <v/>
      </c>
      <c r="P287" s="11"/>
      <c r="Q287" s="11"/>
      <c r="R287" s="11"/>
      <c r="S287" s="11"/>
      <c r="T287" s="11"/>
      <c r="U287" s="12"/>
    </row>
    <row r="288" spans="13:21" ht="14">
      <c r="M288" s="5">
        <v>282</v>
      </c>
      <c r="N288" s="41"/>
      <c r="O288" s="93" t="str">
        <f t="shared" si="8"/>
        <v/>
      </c>
      <c r="P288" s="11"/>
      <c r="Q288" s="11"/>
      <c r="R288" s="11"/>
      <c r="S288" s="11"/>
      <c r="T288" s="11"/>
      <c r="U288" s="12"/>
    </row>
    <row r="289" spans="13:21" ht="14">
      <c r="M289" s="5">
        <v>283</v>
      </c>
      <c r="N289" s="41"/>
      <c r="O289" s="93" t="str">
        <f t="shared" si="8"/>
        <v/>
      </c>
      <c r="P289" s="11"/>
      <c r="Q289" s="11"/>
      <c r="R289" s="11"/>
      <c r="S289" s="11"/>
      <c r="T289" s="11"/>
      <c r="U289" s="12"/>
    </row>
    <row r="290" spans="13:21" ht="14">
      <c r="M290" s="5">
        <v>284</v>
      </c>
      <c r="N290" s="41"/>
      <c r="O290" s="93" t="str">
        <f t="shared" si="8"/>
        <v/>
      </c>
      <c r="P290" s="11"/>
      <c r="Q290" s="11"/>
      <c r="R290" s="11"/>
      <c r="S290" s="11"/>
      <c r="T290" s="11"/>
      <c r="U290" s="12"/>
    </row>
    <row r="291" spans="13:21" ht="14">
      <c r="M291" s="5">
        <v>285</v>
      </c>
      <c r="N291" s="41"/>
      <c r="O291" s="93" t="str">
        <f t="shared" si="8"/>
        <v/>
      </c>
      <c r="P291" s="11"/>
      <c r="Q291" s="11"/>
      <c r="R291" s="11"/>
      <c r="S291" s="11"/>
      <c r="T291" s="11"/>
      <c r="U291" s="12"/>
    </row>
    <row r="292" spans="13:21" ht="14">
      <c r="M292" s="5">
        <v>286</v>
      </c>
      <c r="N292" s="41"/>
      <c r="O292" s="93" t="str">
        <f t="shared" si="8"/>
        <v/>
      </c>
      <c r="P292" s="11"/>
      <c r="Q292" s="11"/>
      <c r="R292" s="11"/>
      <c r="S292" s="11"/>
      <c r="T292" s="11"/>
      <c r="U292" s="12"/>
    </row>
    <row r="293" spans="13:21" ht="14">
      <c r="M293" s="5">
        <v>287</v>
      </c>
      <c r="N293" s="41"/>
      <c r="O293" s="93" t="str">
        <f t="shared" si="8"/>
        <v/>
      </c>
      <c r="P293" s="11"/>
      <c r="Q293" s="11"/>
      <c r="R293" s="11"/>
      <c r="S293" s="11"/>
      <c r="T293" s="11"/>
      <c r="U293" s="12"/>
    </row>
    <row r="294" spans="13:21" ht="14">
      <c r="M294" s="5">
        <v>288</v>
      </c>
      <c r="N294" s="41"/>
      <c r="O294" s="93" t="str">
        <f t="shared" si="8"/>
        <v/>
      </c>
      <c r="P294" s="11"/>
      <c r="Q294" s="11"/>
      <c r="R294" s="11"/>
      <c r="S294" s="11"/>
      <c r="T294" s="11"/>
      <c r="U294" s="12"/>
    </row>
    <row r="295" spans="13:21" ht="14">
      <c r="M295" s="5">
        <v>289</v>
      </c>
      <c r="N295" s="41"/>
      <c r="O295" s="93" t="str">
        <f t="shared" si="8"/>
        <v/>
      </c>
      <c r="P295" s="11"/>
      <c r="Q295" s="11"/>
      <c r="R295" s="11"/>
      <c r="S295" s="11"/>
      <c r="T295" s="11"/>
      <c r="U295" s="12"/>
    </row>
    <row r="296" spans="13:21" ht="14">
      <c r="M296" s="5">
        <v>290</v>
      </c>
      <c r="N296" s="41"/>
      <c r="O296" s="93" t="str">
        <f t="shared" si="8"/>
        <v/>
      </c>
      <c r="P296" s="11"/>
      <c r="Q296" s="11"/>
      <c r="R296" s="11"/>
      <c r="S296" s="11"/>
      <c r="T296" s="11"/>
      <c r="U296" s="12"/>
    </row>
    <row r="297" spans="13:21" ht="14">
      <c r="M297" s="5">
        <v>291</v>
      </c>
      <c r="N297" s="41"/>
      <c r="O297" s="93" t="str">
        <f t="shared" si="8"/>
        <v/>
      </c>
      <c r="P297" s="11"/>
      <c r="Q297" s="11"/>
      <c r="R297" s="11"/>
      <c r="S297" s="11"/>
      <c r="T297" s="11"/>
      <c r="U297" s="12"/>
    </row>
    <row r="298" spans="13:21" ht="14">
      <c r="M298" s="5">
        <v>292</v>
      </c>
      <c r="N298" s="41"/>
      <c r="O298" s="93" t="str">
        <f t="shared" si="8"/>
        <v/>
      </c>
      <c r="P298" s="11"/>
      <c r="Q298" s="11"/>
      <c r="R298" s="11"/>
      <c r="S298" s="11"/>
      <c r="T298" s="11"/>
      <c r="U298" s="12"/>
    </row>
    <row r="299" spans="13:21" ht="14">
      <c r="M299" s="5">
        <v>293</v>
      </c>
      <c r="N299" s="41"/>
      <c r="O299" s="93" t="str">
        <f t="shared" si="8"/>
        <v/>
      </c>
      <c r="P299" s="11"/>
      <c r="Q299" s="11"/>
      <c r="R299" s="11"/>
      <c r="S299" s="11"/>
      <c r="T299" s="11"/>
      <c r="U299" s="12"/>
    </row>
    <row r="300" spans="13:21" ht="14">
      <c r="M300" s="5">
        <v>294</v>
      </c>
      <c r="N300" s="41"/>
      <c r="O300" s="93" t="str">
        <f t="shared" si="8"/>
        <v/>
      </c>
      <c r="P300" s="11"/>
      <c r="Q300" s="11"/>
      <c r="R300" s="11"/>
      <c r="S300" s="11"/>
      <c r="T300" s="11"/>
      <c r="U300" s="12"/>
    </row>
  </sheetData>
  <sheetProtection algorithmName="SHA-512" hashValue="aoqQkPuTzMhMsSFWLwmxI7b14HsbOnM3HeCJ+e/x9zkywG3FlYVJA0u/Ie4uH0GzBa/T2wSs9He6LYCyJKVaWA==" saltValue="al6Ynu5yehxePkEcTgjV6w==" spinCount="100000" sheet="1" formatColumns="0" formatRows="0"/>
  <mergeCells count="4">
    <mergeCell ref="F2:G2"/>
    <mergeCell ref="R2:S2"/>
    <mergeCell ref="B5:I5"/>
    <mergeCell ref="N5:S5"/>
  </mergeCells>
  <phoneticPr fontId="2" type="noConversion"/>
  <dataValidations count="1">
    <dataValidation type="list" allowBlank="1" showInputMessage="1" showErrorMessage="1" sqref="H7:H106" xr:uid="{6E8666BA-22C8-425E-856D-6CF09826F9FE}">
      <formula1>"휘발유, 경유, LPG"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3350B-9AA0-4FE9-98BB-8FB575F0DD05}">
  <sheetPr codeName="Sheet4">
    <pageSetUpPr fitToPage="1"/>
  </sheetPr>
  <dimension ref="A1:Q44"/>
  <sheetViews>
    <sheetView showGridLines="0" zoomScale="85" zoomScaleNormal="85" workbookViewId="0">
      <selection activeCell="G24" sqref="G24"/>
    </sheetView>
  </sheetViews>
  <sheetFormatPr baseColWidth="10" defaultColWidth="9" defaultRowHeight="14"/>
  <cols>
    <col min="1" max="1" width="3.33203125" style="16" customWidth="1"/>
    <col min="2" max="2" width="4.6640625" style="16" bestFit="1" customWidth="1"/>
    <col min="3" max="3" width="15.1640625" style="16" customWidth="1"/>
    <col min="4" max="4" width="25.1640625" style="16" customWidth="1"/>
    <col min="5" max="5" width="21.6640625" style="16" customWidth="1"/>
    <col min="6" max="6" width="20.6640625" style="16" customWidth="1"/>
    <col min="7" max="7" width="16" style="16" customWidth="1"/>
    <col min="8" max="8" width="15.1640625" style="16" bestFit="1" customWidth="1"/>
    <col min="9" max="9" width="10.6640625" style="16" customWidth="1"/>
    <col min="10" max="12" width="12.83203125" style="16" customWidth="1"/>
    <col min="13" max="13" width="3" style="16" customWidth="1"/>
    <col min="14" max="14" width="9.1640625" style="16" customWidth="1"/>
    <col min="15" max="15" width="12.1640625" style="16" customWidth="1"/>
    <col min="16" max="16" width="12.33203125" style="16" customWidth="1"/>
    <col min="17" max="17" width="19" style="16" customWidth="1"/>
    <col min="18" max="16384" width="9" style="16"/>
  </cols>
  <sheetData>
    <row r="1" spans="1:17">
      <c r="A1" s="2"/>
      <c r="B1" s="14"/>
      <c r="C1" s="2"/>
      <c r="D1" s="2"/>
      <c r="E1" s="2"/>
      <c r="F1" s="2"/>
      <c r="G1" s="15"/>
      <c r="H1" s="15"/>
      <c r="I1" s="2"/>
    </row>
    <row r="2" spans="1:17" ht="18" customHeight="1">
      <c r="B2" s="117" t="s">
        <v>200</v>
      </c>
      <c r="C2" s="117"/>
      <c r="D2" s="117"/>
      <c r="E2" s="117"/>
      <c r="F2" s="117"/>
      <c r="G2" s="118"/>
      <c r="H2" s="118"/>
      <c r="I2" s="31" t="s">
        <v>128</v>
      </c>
      <c r="J2" s="115" t="s">
        <v>12</v>
      </c>
      <c r="K2" s="115"/>
      <c r="L2" s="115"/>
      <c r="N2" s="42"/>
    </row>
    <row r="3" spans="1:17" ht="18" customHeight="1">
      <c r="B3" s="117"/>
      <c r="C3" s="117"/>
      <c r="D3" s="117"/>
      <c r="E3" s="117"/>
      <c r="F3" s="117"/>
      <c r="G3" s="119" t="s">
        <v>129</v>
      </c>
      <c r="H3" s="120"/>
      <c r="I3" s="121" t="s">
        <v>255</v>
      </c>
      <c r="J3" s="18" t="s">
        <v>130</v>
      </c>
      <c r="K3" s="17" t="s">
        <v>131</v>
      </c>
      <c r="L3" s="17" t="s">
        <v>132</v>
      </c>
      <c r="N3" s="43" t="s">
        <v>197</v>
      </c>
    </row>
    <row r="4" spans="1:17" ht="18" customHeight="1">
      <c r="B4" s="117"/>
      <c r="C4" s="117"/>
      <c r="D4" s="117"/>
      <c r="E4" s="117"/>
      <c r="F4" s="117"/>
      <c r="G4" s="19" t="s">
        <v>18</v>
      </c>
      <c r="H4" s="85"/>
      <c r="I4" s="121"/>
      <c r="J4" s="122"/>
      <c r="K4" s="115"/>
      <c r="L4" s="115"/>
    </row>
    <row r="5" spans="1:17" ht="18" customHeight="1">
      <c r="B5" s="117"/>
      <c r="C5" s="117"/>
      <c r="D5" s="117"/>
      <c r="E5" s="117"/>
      <c r="F5" s="117"/>
      <c r="G5" s="20" t="s">
        <v>13</v>
      </c>
      <c r="H5" s="21" t="s">
        <v>254</v>
      </c>
      <c r="I5" s="121"/>
      <c r="J5" s="122"/>
      <c r="K5" s="115"/>
      <c r="L5" s="115"/>
    </row>
    <row r="6" spans="1:17" ht="18" customHeight="1">
      <c r="B6" s="117"/>
      <c r="C6" s="117"/>
      <c r="D6" s="117"/>
      <c r="E6" s="117"/>
      <c r="F6" s="117"/>
      <c r="G6" s="25" t="s">
        <v>14</v>
      </c>
      <c r="H6" s="26" t="s">
        <v>258</v>
      </c>
      <c r="I6" s="121"/>
      <c r="J6" s="122"/>
      <c r="K6" s="115"/>
      <c r="L6" s="115"/>
    </row>
    <row r="7" spans="1:17" ht="18" customHeight="1">
      <c r="B7" s="117"/>
      <c r="C7" s="117"/>
      <c r="D7" s="117"/>
      <c r="E7" s="117"/>
      <c r="F7" s="117"/>
      <c r="G7" s="22" t="s">
        <v>15</v>
      </c>
      <c r="H7" s="55" t="s">
        <v>207</v>
      </c>
      <c r="I7" s="121"/>
      <c r="J7" s="122"/>
      <c r="K7" s="115"/>
      <c r="L7" s="115"/>
    </row>
    <row r="8" spans="1:17" ht="18" customHeight="1">
      <c r="B8" s="117"/>
      <c r="C8" s="117"/>
      <c r="D8" s="117"/>
      <c r="E8" s="117"/>
      <c r="F8" s="117"/>
      <c r="G8" s="109"/>
      <c r="H8" s="109"/>
      <c r="I8" s="31" t="s">
        <v>16</v>
      </c>
      <c r="J8" s="123" t="s">
        <v>133</v>
      </c>
      <c r="K8" s="123"/>
      <c r="L8" s="123"/>
    </row>
    <row r="9" spans="1:17" ht="18" customHeight="1">
      <c r="B9" s="117"/>
      <c r="C9" s="117"/>
      <c r="D9" s="117"/>
      <c r="E9" s="117"/>
      <c r="F9" s="117"/>
      <c r="G9" s="119" t="s">
        <v>134</v>
      </c>
      <c r="H9" s="120"/>
      <c r="I9" s="121" t="s">
        <v>256</v>
      </c>
      <c r="J9" s="124" t="s">
        <v>135</v>
      </c>
      <c r="K9" s="17" t="s">
        <v>136</v>
      </c>
      <c r="L9" s="17" t="s">
        <v>130</v>
      </c>
    </row>
    <row r="10" spans="1:17" ht="18" customHeight="1">
      <c r="B10" s="117"/>
      <c r="C10" s="117"/>
      <c r="D10" s="117"/>
      <c r="E10" s="117"/>
      <c r="F10" s="117"/>
      <c r="G10" s="44" t="s">
        <v>137</v>
      </c>
      <c r="H10" s="45">
        <f>SUM(K:K)</f>
        <v>0</v>
      </c>
      <c r="I10" s="121"/>
      <c r="J10" s="125"/>
      <c r="K10" s="115"/>
      <c r="L10" s="115"/>
    </row>
    <row r="11" spans="1:17" ht="18" customHeight="1">
      <c r="B11" s="117"/>
      <c r="C11" s="117"/>
      <c r="D11" s="117"/>
      <c r="E11" s="117"/>
      <c r="F11" s="117"/>
      <c r="G11" s="23" t="s">
        <v>140</v>
      </c>
      <c r="H11" s="24">
        <f>SUMIF(J:J,"3.개인형법인카드",K:K)</f>
        <v>0</v>
      </c>
      <c r="I11" s="121"/>
      <c r="J11" s="125"/>
      <c r="K11" s="115"/>
      <c r="L11" s="115"/>
    </row>
    <row r="12" spans="1:17" ht="18" customHeight="1">
      <c r="B12" s="117"/>
      <c r="C12" s="117"/>
      <c r="D12" s="117"/>
      <c r="E12" s="117"/>
      <c r="F12" s="117"/>
      <c r="G12" s="46" t="s">
        <v>138</v>
      </c>
      <c r="H12" s="47">
        <f>SUM(L:L)</f>
        <v>0</v>
      </c>
      <c r="I12" s="121"/>
      <c r="J12" s="125"/>
      <c r="K12" s="115"/>
      <c r="L12" s="115"/>
    </row>
    <row r="13" spans="1:17" ht="18" customHeight="1">
      <c r="B13" s="117"/>
      <c r="C13" s="117"/>
      <c r="D13" s="117"/>
      <c r="E13" s="117"/>
      <c r="F13" s="117"/>
      <c r="G13" s="48" t="s">
        <v>139</v>
      </c>
      <c r="H13" s="49">
        <f>SUM(P:P)</f>
        <v>0</v>
      </c>
      <c r="I13" s="121"/>
      <c r="J13" s="125"/>
      <c r="K13" s="115"/>
      <c r="L13" s="115"/>
    </row>
    <row r="14" spans="1:17" ht="9.75" customHeight="1">
      <c r="P14" s="116" t="s">
        <v>20</v>
      </c>
      <c r="Q14" s="116"/>
    </row>
    <row r="15" spans="1:17" s="2" customFormat="1" ht="9.75" customHeight="1">
      <c r="P15" s="116"/>
      <c r="Q15" s="116"/>
    </row>
    <row r="16" spans="1:17" s="2" customFormat="1" ht="25.5" customHeight="1" thickBot="1">
      <c r="B16" s="56" t="s">
        <v>0</v>
      </c>
      <c r="C16" s="56" t="s">
        <v>21</v>
      </c>
      <c r="D16" s="56" t="s">
        <v>1</v>
      </c>
      <c r="E16" s="56" t="s">
        <v>2</v>
      </c>
      <c r="F16" s="56" t="s">
        <v>9</v>
      </c>
      <c r="G16" s="57" t="s">
        <v>10</v>
      </c>
      <c r="H16" s="57"/>
      <c r="I16" s="57"/>
      <c r="J16" s="56" t="s">
        <v>3</v>
      </c>
      <c r="K16" s="56" t="s">
        <v>4</v>
      </c>
      <c r="L16" s="56" t="s">
        <v>5</v>
      </c>
      <c r="M16" s="16"/>
      <c r="N16" s="58" t="s">
        <v>7</v>
      </c>
      <c r="O16" s="58" t="s">
        <v>8</v>
      </c>
      <c r="P16" s="59" t="s">
        <v>6</v>
      </c>
      <c r="Q16" s="59" t="s">
        <v>11</v>
      </c>
    </row>
    <row r="17" spans="2:17" s="2" customFormat="1" ht="25.5" customHeight="1" thickTop="1">
      <c r="B17" s="60">
        <f>ROW()-16</f>
        <v>1</v>
      </c>
      <c r="C17" s="61"/>
      <c r="D17" s="62"/>
      <c r="E17" s="62"/>
      <c r="F17" s="62"/>
      <c r="G17" s="63"/>
      <c r="H17" s="64"/>
      <c r="I17" s="65"/>
      <c r="J17" s="50"/>
      <c r="K17" s="66"/>
      <c r="L17" s="66"/>
      <c r="M17" s="16"/>
      <c r="N17" s="67"/>
      <c r="O17" s="68"/>
      <c r="P17" s="69"/>
      <c r="Q17" s="70"/>
    </row>
    <row r="18" spans="2:17" s="2" customFormat="1" ht="25.5" customHeight="1">
      <c r="B18" s="71">
        <f t="shared" ref="B18:B41" si="0">ROW()-16</f>
        <v>2</v>
      </c>
      <c r="C18" s="72"/>
      <c r="D18" s="73"/>
      <c r="E18" s="73"/>
      <c r="F18" s="73"/>
      <c r="G18" s="74"/>
      <c r="H18" s="75"/>
      <c r="I18" s="76"/>
      <c r="J18" s="51"/>
      <c r="K18" s="77"/>
      <c r="L18" s="77"/>
      <c r="M18" s="16"/>
      <c r="N18" s="67"/>
      <c r="O18" s="68"/>
      <c r="P18" s="69"/>
      <c r="Q18" s="70"/>
    </row>
    <row r="19" spans="2:17" s="2" customFormat="1" ht="25.5" customHeight="1">
      <c r="B19" s="71">
        <f t="shared" si="0"/>
        <v>3</v>
      </c>
      <c r="C19" s="72"/>
      <c r="D19" s="73"/>
      <c r="E19" s="73"/>
      <c r="F19" s="73"/>
      <c r="G19" s="74"/>
      <c r="H19" s="75"/>
      <c r="I19" s="76"/>
      <c r="J19" s="51"/>
      <c r="K19" s="77"/>
      <c r="L19" s="77"/>
      <c r="M19" s="16"/>
      <c r="N19" s="67"/>
      <c r="O19" s="68"/>
      <c r="P19" s="69"/>
      <c r="Q19" s="70"/>
    </row>
    <row r="20" spans="2:17" s="2" customFormat="1" ht="25.5" customHeight="1">
      <c r="B20" s="71">
        <f t="shared" si="0"/>
        <v>4</v>
      </c>
      <c r="C20" s="72"/>
      <c r="D20" s="73"/>
      <c r="E20" s="73"/>
      <c r="F20" s="73"/>
      <c r="G20" s="74"/>
      <c r="H20" s="75"/>
      <c r="I20" s="76"/>
      <c r="J20" s="51"/>
      <c r="K20" s="77"/>
      <c r="L20" s="77"/>
      <c r="M20" s="16"/>
      <c r="N20" s="67"/>
      <c r="O20" s="68"/>
      <c r="P20" s="69"/>
      <c r="Q20" s="70"/>
    </row>
    <row r="21" spans="2:17" s="2" customFormat="1" ht="25.5" customHeight="1">
      <c r="B21" s="71">
        <f t="shared" si="0"/>
        <v>5</v>
      </c>
      <c r="C21" s="72"/>
      <c r="D21" s="73"/>
      <c r="E21" s="73"/>
      <c r="F21" s="73"/>
      <c r="G21" s="74"/>
      <c r="H21" s="75"/>
      <c r="I21" s="76"/>
      <c r="J21" s="51"/>
      <c r="K21" s="77"/>
      <c r="L21" s="77"/>
      <c r="M21" s="16"/>
      <c r="N21" s="67"/>
      <c r="O21" s="68"/>
      <c r="P21" s="69"/>
      <c r="Q21" s="70"/>
    </row>
    <row r="22" spans="2:17" s="2" customFormat="1" ht="25.5" customHeight="1">
      <c r="B22" s="71">
        <f t="shared" si="0"/>
        <v>6</v>
      </c>
      <c r="C22" s="72"/>
      <c r="D22" s="73"/>
      <c r="E22" s="73"/>
      <c r="F22" s="73"/>
      <c r="G22" s="74"/>
      <c r="H22" s="75"/>
      <c r="I22" s="76"/>
      <c r="J22" s="51"/>
      <c r="K22" s="77"/>
      <c r="L22" s="77"/>
      <c r="M22" s="16"/>
      <c r="N22" s="67"/>
      <c r="O22" s="68"/>
      <c r="P22" s="69"/>
      <c r="Q22" s="70"/>
    </row>
    <row r="23" spans="2:17" s="2" customFormat="1" ht="25.5" customHeight="1">
      <c r="B23" s="71">
        <f t="shared" si="0"/>
        <v>7</v>
      </c>
      <c r="C23" s="72"/>
      <c r="D23" s="73"/>
      <c r="E23" s="73"/>
      <c r="F23" s="73"/>
      <c r="G23" s="74"/>
      <c r="H23" s="75"/>
      <c r="I23" s="76"/>
      <c r="J23" s="51"/>
      <c r="K23" s="77"/>
      <c r="L23" s="77"/>
      <c r="M23" s="16"/>
      <c r="N23" s="67"/>
      <c r="O23" s="68"/>
      <c r="P23" s="69"/>
      <c r="Q23" s="70"/>
    </row>
    <row r="24" spans="2:17" s="2" customFormat="1" ht="25.5" customHeight="1">
      <c r="B24" s="71">
        <f t="shared" si="0"/>
        <v>8</v>
      </c>
      <c r="C24" s="72"/>
      <c r="D24" s="73"/>
      <c r="E24" s="73"/>
      <c r="F24" s="73"/>
      <c r="G24" s="74"/>
      <c r="H24" s="75"/>
      <c r="I24" s="76"/>
      <c r="J24" s="51"/>
      <c r="K24" s="77"/>
      <c r="L24" s="77"/>
      <c r="M24" s="16"/>
      <c r="N24" s="67"/>
      <c r="O24" s="68"/>
      <c r="P24" s="69"/>
      <c r="Q24" s="70"/>
    </row>
    <row r="25" spans="2:17" s="2" customFormat="1" ht="25.5" customHeight="1">
      <c r="B25" s="71">
        <f t="shared" si="0"/>
        <v>9</v>
      </c>
      <c r="C25" s="72"/>
      <c r="D25" s="73"/>
      <c r="E25" s="73"/>
      <c r="F25" s="73"/>
      <c r="G25" s="74"/>
      <c r="H25" s="75"/>
      <c r="I25" s="76"/>
      <c r="J25" s="51"/>
      <c r="K25" s="77"/>
      <c r="L25" s="77"/>
      <c r="M25" s="16"/>
      <c r="N25" s="67"/>
      <c r="O25" s="68"/>
      <c r="P25" s="69"/>
      <c r="Q25" s="70"/>
    </row>
    <row r="26" spans="2:17" s="2" customFormat="1" ht="25.5" customHeight="1">
      <c r="B26" s="71">
        <f t="shared" si="0"/>
        <v>10</v>
      </c>
      <c r="C26" s="72"/>
      <c r="D26" s="73"/>
      <c r="E26" s="73"/>
      <c r="F26" s="73"/>
      <c r="G26" s="74"/>
      <c r="H26" s="75"/>
      <c r="I26" s="76"/>
      <c r="J26" s="51"/>
      <c r="K26" s="77"/>
      <c r="L26" s="77"/>
      <c r="M26" s="16"/>
      <c r="N26" s="67"/>
      <c r="O26" s="68"/>
      <c r="P26" s="69"/>
      <c r="Q26" s="70"/>
    </row>
    <row r="27" spans="2:17" s="2" customFormat="1" ht="25.5" customHeight="1">
      <c r="B27" s="71">
        <f t="shared" si="0"/>
        <v>11</v>
      </c>
      <c r="C27" s="72"/>
      <c r="D27" s="73"/>
      <c r="E27" s="73"/>
      <c r="F27" s="73"/>
      <c r="G27" s="74"/>
      <c r="H27" s="75"/>
      <c r="I27" s="76"/>
      <c r="J27" s="51"/>
      <c r="K27" s="77"/>
      <c r="L27" s="77"/>
      <c r="M27" s="16"/>
      <c r="N27" s="67"/>
      <c r="O27" s="68"/>
      <c r="P27" s="69"/>
      <c r="Q27" s="70"/>
    </row>
    <row r="28" spans="2:17" s="2" customFormat="1" ht="25.5" customHeight="1">
      <c r="B28" s="71">
        <f t="shared" si="0"/>
        <v>12</v>
      </c>
      <c r="C28" s="72"/>
      <c r="D28" s="73"/>
      <c r="E28" s="73"/>
      <c r="F28" s="73"/>
      <c r="G28" s="74"/>
      <c r="H28" s="75"/>
      <c r="I28" s="76"/>
      <c r="J28" s="51"/>
      <c r="K28" s="77"/>
      <c r="L28" s="77"/>
      <c r="M28" s="16"/>
      <c r="N28" s="67"/>
      <c r="O28" s="68"/>
      <c r="P28" s="69"/>
      <c r="Q28" s="70"/>
    </row>
    <row r="29" spans="2:17" s="2" customFormat="1" ht="25.5" customHeight="1">
      <c r="B29" s="71">
        <f t="shared" si="0"/>
        <v>13</v>
      </c>
      <c r="C29" s="72"/>
      <c r="D29" s="73"/>
      <c r="E29" s="73"/>
      <c r="F29" s="73"/>
      <c r="G29" s="74"/>
      <c r="H29" s="75"/>
      <c r="I29" s="76"/>
      <c r="J29" s="51"/>
      <c r="K29" s="77"/>
      <c r="L29" s="77"/>
      <c r="M29" s="16"/>
      <c r="N29" s="67"/>
      <c r="O29" s="68"/>
      <c r="P29" s="69"/>
      <c r="Q29" s="70"/>
    </row>
    <row r="30" spans="2:17" s="2" customFormat="1" ht="25.5" customHeight="1">
      <c r="B30" s="71">
        <f t="shared" si="0"/>
        <v>14</v>
      </c>
      <c r="C30" s="72"/>
      <c r="D30" s="73"/>
      <c r="E30" s="73"/>
      <c r="F30" s="73"/>
      <c r="G30" s="74"/>
      <c r="H30" s="75"/>
      <c r="I30" s="76"/>
      <c r="J30" s="51"/>
      <c r="K30" s="77"/>
      <c r="L30" s="77"/>
      <c r="M30" s="16"/>
      <c r="N30" s="67"/>
      <c r="O30" s="68"/>
      <c r="P30" s="69"/>
      <c r="Q30" s="70"/>
    </row>
    <row r="31" spans="2:17" s="2" customFormat="1" ht="25.5" customHeight="1">
      <c r="B31" s="71">
        <f t="shared" si="0"/>
        <v>15</v>
      </c>
      <c r="C31" s="72"/>
      <c r="D31" s="73"/>
      <c r="E31" s="73"/>
      <c r="F31" s="73"/>
      <c r="G31" s="74"/>
      <c r="H31" s="75"/>
      <c r="I31" s="76"/>
      <c r="J31" s="51"/>
      <c r="K31" s="77"/>
      <c r="L31" s="77"/>
      <c r="M31" s="16"/>
      <c r="N31" s="67"/>
      <c r="O31" s="68"/>
      <c r="P31" s="69"/>
      <c r="Q31" s="70"/>
    </row>
    <row r="32" spans="2:17" s="2" customFormat="1" ht="25.5" customHeight="1">
      <c r="B32" s="71">
        <f t="shared" si="0"/>
        <v>16</v>
      </c>
      <c r="C32" s="72"/>
      <c r="D32" s="73"/>
      <c r="E32" s="73"/>
      <c r="F32" s="73"/>
      <c r="G32" s="74"/>
      <c r="H32" s="75"/>
      <c r="I32" s="76"/>
      <c r="J32" s="51"/>
      <c r="K32" s="77"/>
      <c r="L32" s="77"/>
      <c r="M32" s="16"/>
      <c r="N32" s="67"/>
      <c r="O32" s="68"/>
      <c r="P32" s="69"/>
      <c r="Q32" s="70"/>
    </row>
    <row r="33" spans="2:17" s="2" customFormat="1" ht="25.5" customHeight="1">
      <c r="B33" s="71">
        <f t="shared" si="0"/>
        <v>17</v>
      </c>
      <c r="C33" s="72"/>
      <c r="D33" s="73"/>
      <c r="E33" s="73"/>
      <c r="F33" s="73"/>
      <c r="G33" s="74"/>
      <c r="H33" s="75"/>
      <c r="I33" s="76"/>
      <c r="J33" s="51"/>
      <c r="K33" s="77"/>
      <c r="L33" s="77"/>
      <c r="M33" s="16"/>
      <c r="N33" s="67"/>
      <c r="O33" s="68"/>
      <c r="P33" s="69"/>
      <c r="Q33" s="70"/>
    </row>
    <row r="34" spans="2:17" s="2" customFormat="1" ht="25.5" customHeight="1">
      <c r="B34" s="71">
        <f t="shared" si="0"/>
        <v>18</v>
      </c>
      <c r="C34" s="72"/>
      <c r="D34" s="73"/>
      <c r="E34" s="73"/>
      <c r="F34" s="73"/>
      <c r="G34" s="74"/>
      <c r="H34" s="75"/>
      <c r="I34" s="76"/>
      <c r="J34" s="51"/>
      <c r="K34" s="77"/>
      <c r="L34" s="77"/>
      <c r="M34" s="16"/>
      <c r="N34" s="67"/>
      <c r="O34" s="68"/>
      <c r="P34" s="69"/>
      <c r="Q34" s="70"/>
    </row>
    <row r="35" spans="2:17" s="2" customFormat="1" ht="25.5" customHeight="1">
      <c r="B35" s="71">
        <f t="shared" si="0"/>
        <v>19</v>
      </c>
      <c r="C35" s="72"/>
      <c r="D35" s="73"/>
      <c r="E35" s="73"/>
      <c r="F35" s="73"/>
      <c r="G35" s="74"/>
      <c r="H35" s="75"/>
      <c r="I35" s="76"/>
      <c r="J35" s="51"/>
      <c r="K35" s="77"/>
      <c r="L35" s="77"/>
      <c r="M35" s="16"/>
      <c r="N35" s="67"/>
      <c r="O35" s="68"/>
      <c r="P35" s="69"/>
      <c r="Q35" s="70"/>
    </row>
    <row r="36" spans="2:17" s="2" customFormat="1" ht="25.5" customHeight="1">
      <c r="B36" s="71">
        <f t="shared" si="0"/>
        <v>20</v>
      </c>
      <c r="C36" s="72"/>
      <c r="D36" s="73"/>
      <c r="E36" s="73"/>
      <c r="F36" s="73"/>
      <c r="G36" s="74"/>
      <c r="H36" s="75"/>
      <c r="I36" s="76"/>
      <c r="J36" s="51"/>
      <c r="K36" s="77"/>
      <c r="L36" s="77"/>
      <c r="M36" s="16"/>
      <c r="N36" s="67"/>
      <c r="O36" s="68"/>
      <c r="P36" s="69"/>
      <c r="Q36" s="70"/>
    </row>
    <row r="37" spans="2:17" s="2" customFormat="1" ht="25.5" customHeight="1">
      <c r="B37" s="71">
        <f t="shared" si="0"/>
        <v>21</v>
      </c>
      <c r="C37" s="72"/>
      <c r="D37" s="73"/>
      <c r="E37" s="73"/>
      <c r="F37" s="73"/>
      <c r="G37" s="74"/>
      <c r="H37" s="75"/>
      <c r="I37" s="76"/>
      <c r="J37" s="51"/>
      <c r="K37" s="77"/>
      <c r="L37" s="77"/>
      <c r="M37" s="16"/>
      <c r="N37" s="67"/>
      <c r="O37" s="68"/>
      <c r="P37" s="69"/>
      <c r="Q37" s="70"/>
    </row>
    <row r="38" spans="2:17" s="2" customFormat="1" ht="25.5" customHeight="1">
      <c r="B38" s="71">
        <f t="shared" si="0"/>
        <v>22</v>
      </c>
      <c r="C38" s="72"/>
      <c r="D38" s="73"/>
      <c r="E38" s="73"/>
      <c r="F38" s="73"/>
      <c r="G38" s="74"/>
      <c r="H38" s="75"/>
      <c r="I38" s="76"/>
      <c r="J38" s="51"/>
      <c r="K38" s="77"/>
      <c r="L38" s="77"/>
      <c r="M38" s="16"/>
      <c r="N38" s="67"/>
      <c r="O38" s="68"/>
      <c r="P38" s="69"/>
      <c r="Q38" s="70"/>
    </row>
    <row r="39" spans="2:17" s="2" customFormat="1" ht="25.5" customHeight="1">
      <c r="B39" s="71">
        <f t="shared" si="0"/>
        <v>23</v>
      </c>
      <c r="C39" s="72"/>
      <c r="D39" s="73"/>
      <c r="E39" s="73"/>
      <c r="F39" s="73"/>
      <c r="G39" s="74"/>
      <c r="H39" s="75"/>
      <c r="I39" s="76"/>
      <c r="J39" s="51"/>
      <c r="K39" s="77"/>
      <c r="L39" s="77"/>
      <c r="M39" s="16"/>
      <c r="N39" s="67"/>
      <c r="O39" s="68"/>
      <c r="P39" s="69"/>
      <c r="Q39" s="70"/>
    </row>
    <row r="40" spans="2:17" s="2" customFormat="1" ht="25.5" customHeight="1">
      <c r="B40" s="71">
        <f t="shared" si="0"/>
        <v>24</v>
      </c>
      <c r="C40" s="72"/>
      <c r="D40" s="73"/>
      <c r="E40" s="73"/>
      <c r="F40" s="73"/>
      <c r="G40" s="74"/>
      <c r="H40" s="75"/>
      <c r="I40" s="76"/>
      <c r="J40" s="51"/>
      <c r="K40" s="77"/>
      <c r="L40" s="77"/>
      <c r="M40" s="16"/>
      <c r="N40" s="67"/>
      <c r="O40" s="68"/>
      <c r="P40" s="69"/>
      <c r="Q40" s="70"/>
    </row>
    <row r="41" spans="2:17" s="2" customFormat="1" ht="25.5" customHeight="1">
      <c r="B41" s="78">
        <f t="shared" si="0"/>
        <v>25</v>
      </c>
      <c r="C41" s="79"/>
      <c r="D41" s="80"/>
      <c r="E41" s="80"/>
      <c r="F41" s="80"/>
      <c r="G41" s="81"/>
      <c r="H41" s="82"/>
      <c r="I41" s="83"/>
      <c r="J41" s="52"/>
      <c r="K41" s="84"/>
      <c r="L41" s="84"/>
      <c r="M41" s="16"/>
      <c r="N41" s="67"/>
      <c r="O41" s="68"/>
      <c r="P41" s="69"/>
      <c r="Q41" s="70"/>
    </row>
    <row r="43" spans="2:17">
      <c r="B43" s="53" t="s">
        <v>126</v>
      </c>
    </row>
    <row r="44" spans="2:17">
      <c r="B44" s="54" t="s">
        <v>127</v>
      </c>
    </row>
  </sheetData>
  <sheetProtection formatColumns="0" formatRows="0"/>
  <mergeCells count="16">
    <mergeCell ref="L10:L13"/>
    <mergeCell ref="P14:Q15"/>
    <mergeCell ref="B2:F13"/>
    <mergeCell ref="G2:H2"/>
    <mergeCell ref="J2:L2"/>
    <mergeCell ref="G3:H3"/>
    <mergeCell ref="I3:I7"/>
    <mergeCell ref="J4:J7"/>
    <mergeCell ref="K4:K7"/>
    <mergeCell ref="L4:L7"/>
    <mergeCell ref="G8:H8"/>
    <mergeCell ref="J8:L8"/>
    <mergeCell ref="G9:H9"/>
    <mergeCell ref="I9:I13"/>
    <mergeCell ref="J9:J13"/>
    <mergeCell ref="K10:K13"/>
  </mergeCells>
  <phoneticPr fontId="2" type="noConversion"/>
  <conditionalFormatting sqref="I9:I13">
    <cfRule type="cellIs" dxfId="3" priority="2" operator="equal">
      <formula>"필요"</formula>
    </cfRule>
    <cfRule type="cellIs" dxfId="2" priority="4" operator="equal">
      <formula>"완료"</formula>
    </cfRule>
  </conditionalFormatting>
  <conditionalFormatting sqref="I3:I7">
    <cfRule type="cellIs" dxfId="1" priority="1" operator="equal">
      <formula>"서명완료"</formula>
    </cfRule>
    <cfRule type="cellIs" dxfId="0" priority="3" operator="equal">
      <formula>"확인요망"</formula>
    </cfRule>
  </conditionalFormatting>
  <pageMargins left="0.23622047244094488" right="0.23622047244094488" top="0.39370078740157483" bottom="0.39370078740157483" header="0.31496062992125984" footer="0.31496062992125984"/>
  <pageSetup paperSize="9" scale="55" fitToHeight="0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274B2D-6FF1-43FC-9F54-52FA7E81A299}">
  <sheetPr codeName="Sheet6">
    <tabColor rgb="FF85D4BE"/>
  </sheetPr>
  <dimension ref="A1"/>
  <sheetViews>
    <sheetView showGridLines="0" workbookViewId="0"/>
  </sheetViews>
  <sheetFormatPr baseColWidth="10" defaultColWidth="8.83203125" defaultRowHeight="17"/>
  <sheetData/>
  <sheetProtection algorithmName="SHA-512" hashValue="ZtmeF37J2jh37ku2sv18szlgeRyZrSjHFC5J+VBj71Yh3foUSSie4NVGvLhSI48BA1oj8CoRxV4qaszh4CteIw==" saltValue="3mYy1V7dB83mk8FCgM1Dkg==" spinCount="100000" sheet="1" objects="1" scenarios="1"/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DAA6E7-847C-4EF0-BC96-5682BB661759}">
  <sheetPr codeName="Sheet7">
    <tabColor rgb="FF85D4BE"/>
  </sheetPr>
  <dimension ref="A1"/>
  <sheetViews>
    <sheetView showGridLines="0" zoomScale="85" zoomScaleNormal="85" workbookViewId="0"/>
  </sheetViews>
  <sheetFormatPr baseColWidth="10" defaultColWidth="8.83203125" defaultRowHeight="17"/>
  <sheetData/>
  <sheetProtection algorithmName="SHA-512" hashValue="U3eM9SKnQIa+VNHVKBOxUuTa9MdHgMAy6QnGDBFk9d1kNj6/KjQzJjyi8Xfcm1Rvbult5Xxu1g7f1QMCjHq0Yg==" saltValue="u3XrQRZ35KVPl5tV7NfcHw==" spinCount="100000" sheet="1" objects="1" scenarios="1"/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EBB12-2941-46AA-A4DF-225916102C73}">
  <sheetPr codeName="Sheet3">
    <tabColor rgb="FF85D4BE"/>
  </sheetPr>
  <dimension ref="A1:G42"/>
  <sheetViews>
    <sheetView showGridLines="0" topLeftCell="A16" zoomScaleNormal="100" workbookViewId="0">
      <selection activeCell="E22" sqref="E22"/>
    </sheetView>
  </sheetViews>
  <sheetFormatPr baseColWidth="10" defaultColWidth="8.83203125" defaultRowHeight="18"/>
  <cols>
    <col min="1" max="1" width="9" style="32"/>
    <col min="2" max="2" width="20.6640625" style="3" customWidth="1"/>
    <col min="3" max="3" width="49.1640625" style="2" customWidth="1"/>
    <col min="4" max="4" width="45" style="2" customWidth="1"/>
    <col min="5" max="5" width="54" style="2" customWidth="1"/>
    <col min="6" max="6" width="12.6640625" style="2" customWidth="1"/>
    <col min="7" max="7" width="12.83203125" style="2" customWidth="1"/>
  </cols>
  <sheetData>
    <row r="1" spans="1:7">
      <c r="C1" s="110" t="s">
        <v>117</v>
      </c>
      <c r="D1" s="110"/>
      <c r="E1" s="110"/>
    </row>
    <row r="2" spans="1:7">
      <c r="C2" s="110"/>
      <c r="D2" s="110"/>
      <c r="E2" s="110"/>
    </row>
    <row r="3" spans="1:7">
      <c r="B3" s="28" t="s">
        <v>244</v>
      </c>
    </row>
    <row r="4" spans="1:7" ht="17">
      <c r="A4" s="30" t="s">
        <v>160</v>
      </c>
      <c r="B4" s="30" t="s">
        <v>114</v>
      </c>
      <c r="C4" s="30" t="s">
        <v>115</v>
      </c>
      <c r="D4" s="30" t="s">
        <v>162</v>
      </c>
      <c r="E4" s="29" t="s">
        <v>85</v>
      </c>
      <c r="F4" s="29" t="s">
        <v>86</v>
      </c>
      <c r="G4" s="29" t="s">
        <v>87</v>
      </c>
    </row>
    <row r="5" spans="1:7" ht="60" customHeight="1">
      <c r="A5" s="126" t="s">
        <v>161</v>
      </c>
      <c r="B5" s="92" t="s">
        <v>17</v>
      </c>
      <c r="C5" s="4" t="s">
        <v>67</v>
      </c>
      <c r="D5" s="34" t="s">
        <v>151</v>
      </c>
      <c r="E5" s="8" t="s">
        <v>88</v>
      </c>
      <c r="F5" s="5" t="s">
        <v>243</v>
      </c>
      <c r="G5" s="1" t="s">
        <v>89</v>
      </c>
    </row>
    <row r="6" spans="1:7" ht="50" customHeight="1">
      <c r="A6" s="130"/>
      <c r="B6" s="92" t="s">
        <v>46</v>
      </c>
      <c r="C6" s="4" t="s">
        <v>220</v>
      </c>
      <c r="D6" s="37" t="s">
        <v>208</v>
      </c>
      <c r="E6" s="128" t="s">
        <v>217</v>
      </c>
      <c r="F6" s="129" t="s">
        <v>243</v>
      </c>
      <c r="G6" s="121" t="s">
        <v>89</v>
      </c>
    </row>
    <row r="7" spans="1:7" ht="50" customHeight="1">
      <c r="A7" s="130"/>
      <c r="B7" s="92" t="s">
        <v>47</v>
      </c>
      <c r="C7" s="4" t="s">
        <v>220</v>
      </c>
      <c r="D7" s="37" t="s">
        <v>208</v>
      </c>
      <c r="E7" s="128"/>
      <c r="F7" s="129"/>
      <c r="G7" s="121"/>
    </row>
    <row r="8" spans="1:7" ht="50" customHeight="1">
      <c r="A8" s="130"/>
      <c r="B8" s="92" t="s">
        <v>48</v>
      </c>
      <c r="C8" s="4" t="s">
        <v>220</v>
      </c>
      <c r="D8" s="37" t="s">
        <v>208</v>
      </c>
      <c r="E8" s="128"/>
      <c r="F8" s="129"/>
      <c r="G8" s="121"/>
    </row>
    <row r="9" spans="1:7" ht="31.5" customHeight="1">
      <c r="A9" s="130"/>
      <c r="B9" s="92" t="s">
        <v>214</v>
      </c>
      <c r="C9" s="4" t="s">
        <v>221</v>
      </c>
      <c r="D9" s="37" t="s">
        <v>216</v>
      </c>
      <c r="E9" s="131" t="s">
        <v>249</v>
      </c>
      <c r="F9" s="134" t="s">
        <v>245</v>
      </c>
      <c r="G9" s="137" t="s">
        <v>163</v>
      </c>
    </row>
    <row r="10" spans="1:7" ht="31.5" customHeight="1">
      <c r="A10" s="130"/>
      <c r="B10" s="92" t="s">
        <v>219</v>
      </c>
      <c r="C10" s="4" t="s">
        <v>222</v>
      </c>
      <c r="D10" s="37" t="s">
        <v>216</v>
      </c>
      <c r="E10" s="132"/>
      <c r="F10" s="135"/>
      <c r="G10" s="138"/>
    </row>
    <row r="11" spans="1:7" ht="31.5" customHeight="1">
      <c r="A11" s="130"/>
      <c r="B11" s="92" t="s">
        <v>218</v>
      </c>
      <c r="C11" s="4" t="s">
        <v>222</v>
      </c>
      <c r="D11" s="37" t="s">
        <v>216</v>
      </c>
      <c r="E11" s="132"/>
      <c r="F11" s="135"/>
      <c r="G11" s="138"/>
    </row>
    <row r="12" spans="1:7" ht="31.5" customHeight="1">
      <c r="A12" s="130"/>
      <c r="B12" s="92" t="s">
        <v>215</v>
      </c>
      <c r="C12" s="4" t="s">
        <v>221</v>
      </c>
      <c r="D12" s="37" t="s">
        <v>216</v>
      </c>
      <c r="E12" s="133"/>
      <c r="F12" s="136"/>
      <c r="G12" s="139"/>
    </row>
    <row r="13" spans="1:7" ht="31.5" customHeight="1">
      <c r="A13" s="130"/>
      <c r="B13" s="92" t="s">
        <v>201</v>
      </c>
      <c r="C13" s="4" t="s">
        <v>204</v>
      </c>
      <c r="D13" s="37" t="s">
        <v>205</v>
      </c>
      <c r="E13" s="131" t="s">
        <v>206</v>
      </c>
      <c r="F13" s="134" t="s">
        <v>246</v>
      </c>
      <c r="G13" s="137" t="s">
        <v>163</v>
      </c>
    </row>
    <row r="14" spans="1:7" ht="31.5" customHeight="1">
      <c r="A14" s="130"/>
      <c r="B14" s="92" t="s">
        <v>202</v>
      </c>
      <c r="C14" s="4" t="s">
        <v>204</v>
      </c>
      <c r="D14" s="37" t="s">
        <v>205</v>
      </c>
      <c r="E14" s="132"/>
      <c r="F14" s="135"/>
      <c r="G14" s="138"/>
    </row>
    <row r="15" spans="1:7" ht="31.5" customHeight="1">
      <c r="A15" s="130"/>
      <c r="B15" s="92" t="s">
        <v>203</v>
      </c>
      <c r="C15" s="4" t="s">
        <v>204</v>
      </c>
      <c r="D15" s="37" t="s">
        <v>205</v>
      </c>
      <c r="E15" s="133"/>
      <c r="F15" s="136"/>
      <c r="G15" s="139"/>
    </row>
    <row r="16" spans="1:7" ht="28">
      <c r="A16" s="130"/>
      <c r="B16" s="92" t="s">
        <v>119</v>
      </c>
      <c r="C16" s="4" t="s">
        <v>125</v>
      </c>
      <c r="D16" s="37" t="s">
        <v>164</v>
      </c>
      <c r="E16" s="8" t="s">
        <v>123</v>
      </c>
      <c r="F16" s="5" t="s">
        <v>247</v>
      </c>
      <c r="G16" s="6" t="s">
        <v>121</v>
      </c>
    </row>
    <row r="17" spans="1:7" ht="28">
      <c r="A17" s="130"/>
      <c r="B17" s="92" t="s">
        <v>120</v>
      </c>
      <c r="C17" s="4" t="s">
        <v>125</v>
      </c>
      <c r="D17" s="37" t="s">
        <v>164</v>
      </c>
      <c r="E17" s="8" t="s">
        <v>124</v>
      </c>
      <c r="F17" s="5" t="s">
        <v>248</v>
      </c>
      <c r="G17" s="6" t="s">
        <v>121</v>
      </c>
    </row>
    <row r="18" spans="1:7" ht="17">
      <c r="A18" s="127"/>
      <c r="B18" s="1" t="s">
        <v>63</v>
      </c>
      <c r="C18" s="4" t="s">
        <v>82</v>
      </c>
      <c r="D18" s="34" t="s">
        <v>165</v>
      </c>
      <c r="E18" s="9" t="s">
        <v>111</v>
      </c>
      <c r="F18" s="1" t="s">
        <v>91</v>
      </c>
      <c r="G18" s="6" t="s">
        <v>98</v>
      </c>
    </row>
    <row r="19" spans="1:7" ht="42">
      <c r="A19" s="126" t="s">
        <v>153</v>
      </c>
      <c r="B19" s="1" t="s">
        <v>45</v>
      </c>
      <c r="C19" s="4" t="s">
        <v>240</v>
      </c>
      <c r="D19" s="35" t="s">
        <v>241</v>
      </c>
      <c r="E19" s="8" t="s">
        <v>90</v>
      </c>
      <c r="F19" s="1" t="s">
        <v>91</v>
      </c>
      <c r="G19" s="1" t="s">
        <v>89</v>
      </c>
    </row>
    <row r="20" spans="1:7" ht="28">
      <c r="A20" s="130"/>
      <c r="B20" s="1" t="s">
        <v>236</v>
      </c>
      <c r="C20" s="8" t="s">
        <v>237</v>
      </c>
      <c r="D20" s="35" t="s">
        <v>181</v>
      </c>
      <c r="E20" s="131" t="s">
        <v>182</v>
      </c>
      <c r="F20" s="1" t="s">
        <v>91</v>
      </c>
      <c r="G20" s="1" t="s">
        <v>89</v>
      </c>
    </row>
    <row r="21" spans="1:7" ht="28.5" customHeight="1">
      <c r="A21" s="130"/>
      <c r="B21" s="1" t="s">
        <v>235</v>
      </c>
      <c r="C21" s="4" t="s">
        <v>234</v>
      </c>
      <c r="D21" s="34" t="s">
        <v>209</v>
      </c>
      <c r="E21" s="133"/>
      <c r="F21" s="1" t="s">
        <v>91</v>
      </c>
      <c r="G21" s="1" t="s">
        <v>89</v>
      </c>
    </row>
    <row r="22" spans="1:7" ht="93" customHeight="1">
      <c r="A22" s="130"/>
      <c r="B22" s="1" t="s">
        <v>68</v>
      </c>
      <c r="C22" s="4" t="s">
        <v>185</v>
      </c>
      <c r="D22" s="34" t="s">
        <v>209</v>
      </c>
      <c r="E22" s="8" t="s">
        <v>251</v>
      </c>
      <c r="F22" s="1" t="s">
        <v>92</v>
      </c>
      <c r="G22" s="1" t="s">
        <v>89</v>
      </c>
    </row>
    <row r="23" spans="1:7" ht="17">
      <c r="A23" s="130"/>
      <c r="B23" s="1" t="s">
        <v>69</v>
      </c>
      <c r="C23" s="4" t="s">
        <v>238</v>
      </c>
      <c r="D23" s="35" t="s">
        <v>239</v>
      </c>
      <c r="E23" s="8" t="s">
        <v>93</v>
      </c>
      <c r="F23" s="1" t="s">
        <v>91</v>
      </c>
      <c r="G23" s="1" t="s">
        <v>89</v>
      </c>
    </row>
    <row r="24" spans="1:7" ht="28">
      <c r="A24" s="130"/>
      <c r="B24" s="1" t="s">
        <v>50</v>
      </c>
      <c r="C24" s="4" t="s">
        <v>185</v>
      </c>
      <c r="D24" s="34" t="s">
        <v>209</v>
      </c>
      <c r="E24" s="8" t="s">
        <v>242</v>
      </c>
      <c r="F24" s="1" t="s">
        <v>91</v>
      </c>
      <c r="G24" s="1" t="s">
        <v>89</v>
      </c>
    </row>
    <row r="25" spans="1:7" ht="42">
      <c r="A25" s="127"/>
      <c r="B25" s="1" t="s">
        <v>64</v>
      </c>
      <c r="C25" s="8" t="s">
        <v>186</v>
      </c>
      <c r="D25" s="35" t="s">
        <v>183</v>
      </c>
      <c r="E25" s="9" t="s">
        <v>112</v>
      </c>
      <c r="F25" s="1" t="s">
        <v>91</v>
      </c>
      <c r="G25" s="6" t="s">
        <v>98</v>
      </c>
    </row>
    <row r="26" spans="1:7" ht="17">
      <c r="A26" s="33" t="s">
        <v>154</v>
      </c>
      <c r="B26" s="1" t="s">
        <v>49</v>
      </c>
      <c r="C26" s="4" t="s">
        <v>70</v>
      </c>
      <c r="D26" s="34" t="s">
        <v>166</v>
      </c>
      <c r="E26" s="8" t="s">
        <v>94</v>
      </c>
      <c r="F26" s="1" t="s">
        <v>91</v>
      </c>
      <c r="G26" s="6" t="s">
        <v>95</v>
      </c>
    </row>
    <row r="27" spans="1:7" ht="28">
      <c r="A27" s="33" t="s">
        <v>155</v>
      </c>
      <c r="B27" s="1" t="s">
        <v>51</v>
      </c>
      <c r="C27" s="4" t="s">
        <v>71</v>
      </c>
      <c r="D27" s="34" t="s">
        <v>167</v>
      </c>
      <c r="E27" s="8" t="s">
        <v>96</v>
      </c>
      <c r="F27" s="1" t="s">
        <v>97</v>
      </c>
      <c r="G27" s="6" t="s">
        <v>98</v>
      </c>
    </row>
    <row r="28" spans="1:7" ht="17">
      <c r="A28" s="33" t="s">
        <v>52</v>
      </c>
      <c r="B28" s="1" t="s">
        <v>52</v>
      </c>
      <c r="C28" s="4" t="s">
        <v>72</v>
      </c>
      <c r="D28" s="37" t="s">
        <v>168</v>
      </c>
      <c r="E28" s="8" t="s">
        <v>99</v>
      </c>
      <c r="F28" s="1" t="s">
        <v>227</v>
      </c>
      <c r="G28" s="1" t="s">
        <v>89</v>
      </c>
    </row>
    <row r="29" spans="1:7" ht="17">
      <c r="A29" s="33" t="s">
        <v>156</v>
      </c>
      <c r="B29" s="1" t="s">
        <v>53</v>
      </c>
      <c r="C29" s="4" t="s">
        <v>72</v>
      </c>
      <c r="D29" s="37" t="s">
        <v>168</v>
      </c>
      <c r="E29" s="8" t="s">
        <v>100</v>
      </c>
      <c r="F29" s="1" t="s">
        <v>227</v>
      </c>
      <c r="G29" s="1" t="s">
        <v>89</v>
      </c>
    </row>
    <row r="30" spans="1:7" ht="17">
      <c r="A30" s="126" t="s">
        <v>159</v>
      </c>
      <c r="B30" s="1" t="s">
        <v>54</v>
      </c>
      <c r="C30" s="4" t="s">
        <v>74</v>
      </c>
      <c r="D30" s="37" t="s">
        <v>169</v>
      </c>
      <c r="E30" s="8" t="s">
        <v>101</v>
      </c>
      <c r="F30" s="1" t="s">
        <v>227</v>
      </c>
      <c r="G30" s="6" t="s">
        <v>98</v>
      </c>
    </row>
    <row r="31" spans="1:7" ht="17">
      <c r="A31" s="127"/>
      <c r="B31" s="1" t="s">
        <v>55</v>
      </c>
      <c r="C31" s="4" t="s">
        <v>74</v>
      </c>
      <c r="D31" s="37" t="s">
        <v>169</v>
      </c>
      <c r="E31" s="8" t="s">
        <v>102</v>
      </c>
      <c r="F31" s="1" t="s">
        <v>227</v>
      </c>
      <c r="G31" s="6" t="s">
        <v>98</v>
      </c>
    </row>
    <row r="32" spans="1:7" ht="28">
      <c r="A32" s="126" t="s">
        <v>157</v>
      </c>
      <c r="B32" s="1" t="s">
        <v>56</v>
      </c>
      <c r="C32" s="4" t="s">
        <v>75</v>
      </c>
      <c r="D32" s="34" t="s">
        <v>170</v>
      </c>
      <c r="E32" s="8" t="s">
        <v>103</v>
      </c>
      <c r="F32" s="5" t="s">
        <v>104</v>
      </c>
      <c r="G32" s="6" t="s">
        <v>98</v>
      </c>
    </row>
    <row r="33" spans="1:7" ht="28">
      <c r="A33" s="127"/>
      <c r="B33" s="1" t="s">
        <v>57</v>
      </c>
      <c r="C33" s="4" t="s">
        <v>76</v>
      </c>
      <c r="D33" s="34" t="s">
        <v>171</v>
      </c>
      <c r="E33" s="8" t="s">
        <v>105</v>
      </c>
      <c r="F33" s="1" t="s">
        <v>227</v>
      </c>
      <c r="G33" s="1" t="s">
        <v>89</v>
      </c>
    </row>
    <row r="34" spans="1:7" ht="17">
      <c r="A34" s="33" t="s">
        <v>58</v>
      </c>
      <c r="B34" s="1" t="s">
        <v>58</v>
      </c>
      <c r="C34" s="4" t="s">
        <v>77</v>
      </c>
      <c r="D34" s="34" t="s">
        <v>172</v>
      </c>
      <c r="E34" s="8" t="s">
        <v>106</v>
      </c>
      <c r="F34" s="1" t="s">
        <v>227</v>
      </c>
      <c r="G34" s="6" t="s">
        <v>98</v>
      </c>
    </row>
    <row r="35" spans="1:7" ht="17">
      <c r="A35" s="33" t="s">
        <v>59</v>
      </c>
      <c r="B35" s="1" t="s">
        <v>59</v>
      </c>
      <c r="C35" s="4" t="s">
        <v>78</v>
      </c>
      <c r="D35" s="34" t="s">
        <v>173</v>
      </c>
      <c r="E35" s="8" t="s">
        <v>107</v>
      </c>
      <c r="F35" s="1" t="s">
        <v>227</v>
      </c>
      <c r="G35" s="1" t="s">
        <v>89</v>
      </c>
    </row>
    <row r="36" spans="1:7" ht="17">
      <c r="A36" s="33" t="s">
        <v>60</v>
      </c>
      <c r="B36" s="1" t="s">
        <v>60</v>
      </c>
      <c r="C36" s="4" t="s">
        <v>79</v>
      </c>
      <c r="D36" s="34" t="s">
        <v>174</v>
      </c>
      <c r="E36" s="8" t="s">
        <v>108</v>
      </c>
      <c r="F36" s="1" t="s">
        <v>227</v>
      </c>
      <c r="G36" s="6" t="s">
        <v>98</v>
      </c>
    </row>
    <row r="37" spans="1:7" ht="17">
      <c r="A37" s="33" t="s">
        <v>158</v>
      </c>
      <c r="B37" s="1" t="s">
        <v>61</v>
      </c>
      <c r="C37" s="4" t="s">
        <v>80</v>
      </c>
      <c r="D37" s="34" t="s">
        <v>175</v>
      </c>
      <c r="E37" s="8" t="s">
        <v>109</v>
      </c>
      <c r="F37" s="1" t="s">
        <v>227</v>
      </c>
      <c r="G37" s="6" t="s">
        <v>98</v>
      </c>
    </row>
    <row r="38" spans="1:7" ht="28">
      <c r="A38" s="126" t="s">
        <v>62</v>
      </c>
      <c r="B38" s="1" t="s">
        <v>62</v>
      </c>
      <c r="C38" s="4" t="s">
        <v>81</v>
      </c>
      <c r="D38" s="34" t="s">
        <v>176</v>
      </c>
      <c r="E38" s="8" t="s">
        <v>110</v>
      </c>
      <c r="F38" s="1" t="s">
        <v>227</v>
      </c>
      <c r="G38" s="6" t="s">
        <v>122</v>
      </c>
    </row>
    <row r="39" spans="1:7" ht="28">
      <c r="A39" s="127"/>
      <c r="B39" s="1" t="s">
        <v>224</v>
      </c>
      <c r="C39" s="4" t="s">
        <v>225</v>
      </c>
      <c r="D39" s="34" t="s">
        <v>176</v>
      </c>
      <c r="E39" s="8" t="s">
        <v>226</v>
      </c>
      <c r="F39" s="1" t="s">
        <v>227</v>
      </c>
      <c r="G39" s="6" t="s">
        <v>122</v>
      </c>
    </row>
    <row r="40" spans="1:7" ht="28">
      <c r="A40" s="33" t="s">
        <v>210</v>
      </c>
      <c r="B40" s="1" t="s">
        <v>211</v>
      </c>
      <c r="C40" s="4" t="s">
        <v>118</v>
      </c>
      <c r="D40" s="36" t="s">
        <v>163</v>
      </c>
      <c r="E40" s="8" t="s">
        <v>213</v>
      </c>
      <c r="F40" s="1" t="s">
        <v>212</v>
      </c>
      <c r="G40" s="6" t="s">
        <v>122</v>
      </c>
    </row>
    <row r="41" spans="1:7" ht="17">
      <c r="A41" s="126" t="s">
        <v>65</v>
      </c>
      <c r="B41" s="1" t="s">
        <v>65</v>
      </c>
      <c r="C41" s="4" t="s">
        <v>83</v>
      </c>
      <c r="D41" s="34" t="s">
        <v>177</v>
      </c>
      <c r="E41" s="9" t="s">
        <v>113</v>
      </c>
      <c r="F41" s="7"/>
      <c r="G41" s="7"/>
    </row>
    <row r="42" spans="1:7" ht="17">
      <c r="A42" s="127"/>
      <c r="B42" s="1" t="s">
        <v>66</v>
      </c>
      <c r="C42" s="4" t="s">
        <v>84</v>
      </c>
      <c r="D42" s="34" t="s">
        <v>178</v>
      </c>
      <c r="E42" s="4" t="s">
        <v>116</v>
      </c>
      <c r="F42" s="7"/>
      <c r="G42" s="7"/>
    </row>
  </sheetData>
  <sheetProtection algorithmName="SHA-512" hashValue="GsutUv7/Qdf0NzKHOUP7p6IPV6xv4XMIyyFzmbrklCGuD2jDEU3It67dAE4V+tIeogsWGqa9plv8eNvweGj33Q==" saltValue="2WGyPHri1vumAoij/7w8ug==" spinCount="100000" sheet="1" objects="1" scenarios="1"/>
  <autoFilter ref="A4:G4" xr:uid="{0FBEBB12-2941-46AA-A4DF-225916102C73}"/>
  <mergeCells count="17">
    <mergeCell ref="G6:G8"/>
    <mergeCell ref="A5:A18"/>
    <mergeCell ref="A19:A25"/>
    <mergeCell ref="A30:A31"/>
    <mergeCell ref="A32:A33"/>
    <mergeCell ref="E13:E15"/>
    <mergeCell ref="F13:F15"/>
    <mergeCell ref="G13:G15"/>
    <mergeCell ref="E9:E12"/>
    <mergeCell ref="F9:F12"/>
    <mergeCell ref="G9:G12"/>
    <mergeCell ref="E20:E21"/>
    <mergeCell ref="A41:A42"/>
    <mergeCell ref="C1:E2"/>
    <mergeCell ref="E6:E8"/>
    <mergeCell ref="F6:F8"/>
    <mergeCell ref="A38:A39"/>
  </mergeCells>
  <phoneticPr fontId="2" type="noConversion"/>
  <pageMargins left="0.7" right="0.7" top="0.75" bottom="0.75" header="0.3" footer="0.3"/>
  <pageSetup paperSize="9"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</vt:i4>
      </vt:variant>
    </vt:vector>
  </HeadingPairs>
  <TitlesOfParts>
    <vt:vector size="4" baseType="lpstr">
      <vt:lpstr>사용전안내</vt:lpstr>
      <vt:lpstr>작성시트</vt:lpstr>
      <vt:lpstr>교통비상세</vt:lpstr>
      <vt:lpstr>비용청구서!Print_Area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남 소희</cp:lastModifiedBy>
  <cp:lastPrinted>2021-07-27T04:46:58Z</cp:lastPrinted>
  <dcterms:created xsi:type="dcterms:W3CDTF">2016-12-19T05:23:21Z</dcterms:created>
  <dcterms:modified xsi:type="dcterms:W3CDTF">2026-06-16T11:28:04Z</dcterms:modified>
</cp:coreProperties>
</file>